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\Documents\PlatformIO\Projects\AuroraPortal\ignore\"/>
    </mc:Choice>
  </mc:AlternateContent>
  <xr:revisionPtr revIDLastSave="0" documentId="13_ncr:1_{C1EB50DE-0561-4F19-9287-1158607E195D}" xr6:coauthVersionLast="47" xr6:coauthVersionMax="47" xr10:uidLastSave="{00000000-0000-0000-0000-000000000000}"/>
  <bookViews>
    <workbookView xWindow="-98" yWindow="-98" windowWidth="28996" windowHeight="16395" activeTab="6" xr2:uid="{697F6BFC-02A0-47BE-BADA-81B73B904B8B}"/>
  </bookViews>
  <sheets>
    <sheet name="Sheet1" sheetId="1" r:id="rId1"/>
    <sheet name="Sheet5" sheetId="6" r:id="rId2"/>
    <sheet name="Sheet2" sheetId="2" r:id="rId3"/>
    <sheet name="Sheet3" sheetId="3" r:id="rId4"/>
    <sheet name="paramsUsed" sheetId="4" r:id="rId5"/>
    <sheet name="Sheet7" sheetId="9" r:id="rId6"/>
    <sheet name="Sheet8" sheetId="10" r:id="rId7"/>
    <sheet name="Synaptide" sheetId="8" r:id="rId8"/>
    <sheet name="Sheet4" sheetId="5" r:id="rId9"/>
    <sheet name="Sheet6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0" l="1"/>
  <c r="N16" i="10"/>
  <c r="N15" i="10"/>
  <c r="N14" i="10"/>
  <c r="N13" i="10"/>
  <c r="N12" i="10"/>
  <c r="N11" i="10"/>
  <c r="N10" i="10"/>
  <c r="N9" i="10"/>
  <c r="N8" i="10"/>
  <c r="M17" i="10"/>
  <c r="M16" i="10"/>
  <c r="M15" i="10"/>
  <c r="M14" i="10"/>
  <c r="M13" i="10"/>
  <c r="M12" i="10"/>
  <c r="M11" i="10"/>
  <c r="M10" i="10"/>
  <c r="M9" i="10"/>
  <c r="M8" i="10"/>
  <c r="L17" i="10"/>
  <c r="L16" i="10"/>
  <c r="L15" i="10"/>
  <c r="L14" i="10"/>
  <c r="L13" i="10"/>
  <c r="L12" i="10"/>
  <c r="L11" i="10"/>
  <c r="L10" i="10"/>
  <c r="L9" i="10"/>
  <c r="L8" i="10"/>
  <c r="J17" i="10"/>
  <c r="J16" i="10"/>
  <c r="J15" i="10"/>
  <c r="J14" i="10"/>
  <c r="J13" i="10"/>
  <c r="J12" i="10"/>
  <c r="J11" i="10"/>
  <c r="J10" i="10"/>
  <c r="J9" i="10"/>
  <c r="J8" i="10"/>
  <c r="I17" i="10"/>
  <c r="I16" i="10"/>
  <c r="I15" i="10"/>
  <c r="I14" i="10"/>
  <c r="I13" i="10"/>
  <c r="I12" i="10"/>
  <c r="I11" i="10"/>
  <c r="I10" i="10"/>
  <c r="I9" i="10"/>
  <c r="I8" i="10"/>
  <c r="H17" i="10"/>
  <c r="H16" i="10"/>
  <c r="H15" i="10"/>
  <c r="H14" i="10"/>
  <c r="H13" i="10"/>
  <c r="H12" i="10"/>
  <c r="H11" i="10"/>
  <c r="H10" i="10"/>
  <c r="H9" i="10"/>
  <c r="H8" i="10"/>
  <c r="G10" i="10"/>
  <c r="G11" i="10" s="1"/>
  <c r="G12" i="10" s="1"/>
  <c r="G13" i="10" s="1"/>
  <c r="G14" i="10" s="1"/>
  <c r="G15" i="10" s="1"/>
  <c r="G16" i="10" s="1"/>
  <c r="G17" i="10" s="1"/>
  <c r="G9" i="10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L38" i="4"/>
  <c r="L35" i="4"/>
  <c r="L34" i="4"/>
  <c r="L33" i="4"/>
  <c r="L32" i="4"/>
  <c r="L31" i="4"/>
  <c r="L30" i="4"/>
  <c r="L29" i="4"/>
  <c r="L28" i="4"/>
  <c r="L27" i="4"/>
  <c r="L26" i="4"/>
  <c r="K35" i="4"/>
  <c r="K34" i="4"/>
  <c r="K33" i="4"/>
  <c r="K32" i="4"/>
  <c r="K31" i="4"/>
  <c r="K30" i="4"/>
  <c r="K29" i="4"/>
  <c r="K28" i="4"/>
  <c r="K27" i="4"/>
  <c r="K26" i="4"/>
  <c r="P9" i="6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P93" i="6" s="1"/>
  <c r="P94" i="6" s="1"/>
  <c r="P95" i="6" s="1"/>
  <c r="P96" i="6" s="1"/>
  <c r="P97" i="6" s="1"/>
  <c r="P98" i="6" s="1"/>
  <c r="P99" i="6" s="1"/>
  <c r="P100" i="6" s="1"/>
  <c r="P101" i="6" s="1"/>
  <c r="P102" i="6" s="1"/>
  <c r="P103" i="6" s="1"/>
  <c r="P104" i="6" s="1"/>
  <c r="P105" i="6" s="1"/>
  <c r="P106" i="6" s="1"/>
  <c r="P107" i="6" s="1"/>
  <c r="P108" i="6" s="1"/>
  <c r="P109" i="6" s="1"/>
  <c r="P110" i="6" s="1"/>
  <c r="P111" i="6" s="1"/>
  <c r="P112" i="6" s="1"/>
  <c r="P113" i="6" s="1"/>
  <c r="P114" i="6" s="1"/>
  <c r="P115" i="6" s="1"/>
  <c r="P116" i="6" s="1"/>
  <c r="P117" i="6" s="1"/>
  <c r="P118" i="6" s="1"/>
  <c r="P119" i="6" s="1"/>
  <c r="P120" i="6" s="1"/>
  <c r="P121" i="6" s="1"/>
  <c r="P122" i="6" s="1"/>
  <c r="P123" i="6" s="1"/>
  <c r="P124" i="6" s="1"/>
  <c r="P125" i="6" s="1"/>
  <c r="P126" i="6" s="1"/>
  <c r="P127" i="6" s="1"/>
  <c r="P128" i="6" s="1"/>
  <c r="P129" i="6" s="1"/>
  <c r="P130" i="6" s="1"/>
  <c r="P131" i="6" s="1"/>
  <c r="P132" i="6" s="1"/>
  <c r="P133" i="6" s="1"/>
  <c r="P134" i="6" s="1"/>
  <c r="P135" i="6" s="1"/>
  <c r="P136" i="6" s="1"/>
  <c r="P137" i="6" s="1"/>
  <c r="P138" i="6" s="1"/>
  <c r="P139" i="6" s="1"/>
  <c r="P140" i="6" s="1"/>
  <c r="P141" i="6" s="1"/>
  <c r="P142" i="6" s="1"/>
  <c r="P143" i="6" s="1"/>
  <c r="P144" i="6" s="1"/>
  <c r="P145" i="6" s="1"/>
  <c r="P146" i="6" s="1"/>
  <c r="P147" i="6" s="1"/>
  <c r="P148" i="6" s="1"/>
  <c r="P149" i="6" s="1"/>
  <c r="P150" i="6" s="1"/>
  <c r="P151" i="6" s="1"/>
  <c r="P152" i="6" s="1"/>
  <c r="P153" i="6" s="1"/>
  <c r="P154" i="6" s="1"/>
  <c r="P155" i="6" s="1"/>
  <c r="P156" i="6" s="1"/>
  <c r="P157" i="6" s="1"/>
  <c r="P158" i="6" s="1"/>
  <c r="P159" i="6" s="1"/>
  <c r="P160" i="6" s="1"/>
  <c r="P161" i="6" s="1"/>
  <c r="P162" i="6" s="1"/>
  <c r="P163" i="6" s="1"/>
  <c r="P164" i="6" s="1"/>
  <c r="P165" i="6" s="1"/>
  <c r="P166" i="6" s="1"/>
  <c r="P167" i="6" s="1"/>
  <c r="P168" i="6" s="1"/>
  <c r="P169" i="6" s="1"/>
  <c r="P170" i="6" s="1"/>
  <c r="P171" i="6" s="1"/>
  <c r="P172" i="6" s="1"/>
  <c r="P173" i="6" s="1"/>
  <c r="P174" i="6" s="1"/>
  <c r="P175" i="6" s="1"/>
  <c r="P176" i="6" s="1"/>
  <c r="P177" i="6" s="1"/>
  <c r="P178" i="6" s="1"/>
  <c r="P179" i="6" s="1"/>
  <c r="P180" i="6" s="1"/>
  <c r="P181" i="6" s="1"/>
  <c r="P182" i="6" s="1"/>
  <c r="P183" i="6" s="1"/>
  <c r="P184" i="6" s="1"/>
  <c r="P185" i="6" s="1"/>
  <c r="P186" i="6" s="1"/>
  <c r="P187" i="6" s="1"/>
  <c r="P188" i="6" s="1"/>
  <c r="P189" i="6" s="1"/>
  <c r="P190" i="6" s="1"/>
  <c r="P191" i="6" s="1"/>
  <c r="P192" i="6" s="1"/>
  <c r="P193" i="6" s="1"/>
  <c r="P194" i="6" s="1"/>
  <c r="P195" i="6" s="1"/>
  <c r="P196" i="6" s="1"/>
  <c r="P197" i="6" s="1"/>
  <c r="P198" i="6" s="1"/>
  <c r="P199" i="6" s="1"/>
  <c r="P200" i="6" s="1"/>
  <c r="P201" i="6" s="1"/>
  <c r="P202" i="6" s="1"/>
  <c r="P203" i="6" s="1"/>
  <c r="P204" i="6" s="1"/>
  <c r="P205" i="6" s="1"/>
  <c r="P206" i="6" s="1"/>
  <c r="P207" i="6" s="1"/>
  <c r="P208" i="6" s="1"/>
  <c r="P209" i="6" s="1"/>
  <c r="P210" i="6" s="1"/>
  <c r="P211" i="6" s="1"/>
  <c r="P212" i="6" s="1"/>
  <c r="P213" i="6" s="1"/>
  <c r="P214" i="6" s="1"/>
  <c r="P215" i="6" s="1"/>
  <c r="P216" i="6" s="1"/>
  <c r="P217" i="6" s="1"/>
  <c r="P218" i="6" s="1"/>
  <c r="P219" i="6" s="1"/>
  <c r="P220" i="6" s="1"/>
  <c r="P221" i="6" s="1"/>
  <c r="P222" i="6" s="1"/>
  <c r="P223" i="6" s="1"/>
  <c r="P224" i="6" s="1"/>
  <c r="P225" i="6" s="1"/>
  <c r="P226" i="6" s="1"/>
  <c r="P227" i="6" s="1"/>
  <c r="P228" i="6" s="1"/>
  <c r="P229" i="6" s="1"/>
  <c r="P230" i="6" s="1"/>
  <c r="P231" i="6" s="1"/>
  <c r="P232" i="6" s="1"/>
  <c r="P233" i="6" s="1"/>
  <c r="P234" i="6" s="1"/>
  <c r="P235" i="6" s="1"/>
  <c r="P236" i="6" s="1"/>
  <c r="P237" i="6" s="1"/>
  <c r="P238" i="6" s="1"/>
  <c r="P239" i="6" s="1"/>
  <c r="P240" i="6" s="1"/>
  <c r="P241" i="6" s="1"/>
  <c r="P242" i="6" s="1"/>
  <c r="P243" i="6" s="1"/>
  <c r="P244" i="6" s="1"/>
  <c r="P245" i="6" s="1"/>
  <c r="P246" i="6" s="1"/>
  <c r="P247" i="6" s="1"/>
  <c r="P248" i="6" s="1"/>
  <c r="P249" i="6" s="1"/>
  <c r="P250" i="6" s="1"/>
  <c r="P251" i="6" s="1"/>
  <c r="P252" i="6" s="1"/>
  <c r="P253" i="6" s="1"/>
  <c r="P254" i="6" s="1"/>
  <c r="P255" i="6" s="1"/>
  <c r="P256" i="6" s="1"/>
  <c r="P257" i="6" s="1"/>
  <c r="P258" i="6" s="1"/>
  <c r="P259" i="6" s="1"/>
  <c r="P260" i="6" s="1"/>
  <c r="P261" i="6" s="1"/>
  <c r="P262" i="6" s="1"/>
  <c r="P263" i="6" s="1"/>
  <c r="P264" i="6" s="1"/>
  <c r="P265" i="6" s="1"/>
  <c r="P266" i="6" s="1"/>
  <c r="P267" i="6" s="1"/>
  <c r="P268" i="6" s="1"/>
  <c r="P269" i="6" s="1"/>
  <c r="P270" i="6" s="1"/>
  <c r="P271" i="6" s="1"/>
  <c r="P272" i="6" s="1"/>
  <c r="P273" i="6" s="1"/>
  <c r="P274" i="6" s="1"/>
  <c r="P275" i="6" s="1"/>
  <c r="P276" i="6" s="1"/>
  <c r="P277" i="6" s="1"/>
  <c r="P278" i="6" s="1"/>
  <c r="P279" i="6" s="1"/>
  <c r="P280" i="6" s="1"/>
  <c r="P281" i="6" s="1"/>
  <c r="P282" i="6" s="1"/>
  <c r="P283" i="6" s="1"/>
  <c r="P284" i="6" s="1"/>
  <c r="P285" i="6" s="1"/>
  <c r="P286" i="6" s="1"/>
  <c r="P287" i="6" s="1"/>
  <c r="P288" i="6" s="1"/>
  <c r="P289" i="6" s="1"/>
  <c r="P290" i="6" s="1"/>
  <c r="P291" i="6" s="1"/>
  <c r="P292" i="6" s="1"/>
  <c r="P293" i="6" s="1"/>
  <c r="P294" i="6" s="1"/>
  <c r="P295" i="6" s="1"/>
  <c r="P296" i="6" s="1"/>
  <c r="P297" i="6" s="1"/>
  <c r="P298" i="6" s="1"/>
  <c r="P299" i="6" s="1"/>
  <c r="P300" i="6" s="1"/>
  <c r="P301" i="6" s="1"/>
  <c r="P302" i="6" s="1"/>
  <c r="P303" i="6" s="1"/>
  <c r="P304" i="6" s="1"/>
  <c r="P305" i="6" s="1"/>
  <c r="P306" i="6" s="1"/>
  <c r="P307" i="6" s="1"/>
  <c r="P308" i="6" s="1"/>
  <c r="P309" i="6" s="1"/>
  <c r="P310" i="6" s="1"/>
  <c r="P311" i="6" s="1"/>
  <c r="P312" i="6" s="1"/>
  <c r="P313" i="6" s="1"/>
  <c r="P314" i="6" s="1"/>
  <c r="P315" i="6" s="1"/>
  <c r="P316" i="6" s="1"/>
  <c r="P317" i="6" s="1"/>
  <c r="P318" i="6" s="1"/>
  <c r="P319" i="6" s="1"/>
  <c r="P320" i="6" s="1"/>
  <c r="P321" i="6" s="1"/>
  <c r="P322" i="6" s="1"/>
  <c r="P323" i="6" s="1"/>
  <c r="P324" i="6" s="1"/>
  <c r="P325" i="6" s="1"/>
  <c r="P326" i="6" s="1"/>
  <c r="P327" i="6" s="1"/>
  <c r="P328" i="6" s="1"/>
  <c r="P329" i="6" s="1"/>
  <c r="P330" i="6" s="1"/>
  <c r="P331" i="6" s="1"/>
  <c r="P332" i="6" s="1"/>
  <c r="P333" i="6" s="1"/>
  <c r="P334" i="6" s="1"/>
  <c r="P335" i="6" s="1"/>
  <c r="P336" i="6" s="1"/>
  <c r="P337" i="6" s="1"/>
  <c r="P338" i="6" s="1"/>
  <c r="P339" i="6" s="1"/>
  <c r="P340" i="6" s="1"/>
  <c r="P341" i="6" s="1"/>
  <c r="P342" i="6" s="1"/>
  <c r="P343" i="6" s="1"/>
  <c r="P344" i="6" s="1"/>
  <c r="P345" i="6" s="1"/>
  <c r="P346" i="6" s="1"/>
  <c r="P347" i="6" s="1"/>
  <c r="P348" i="6" s="1"/>
  <c r="P349" i="6" s="1"/>
  <c r="P350" i="6" s="1"/>
  <c r="P351" i="6" s="1"/>
  <c r="P352" i="6" s="1"/>
  <c r="P353" i="6" s="1"/>
  <c r="P354" i="6" s="1"/>
  <c r="P355" i="6" s="1"/>
  <c r="P356" i="6" s="1"/>
  <c r="P357" i="6" s="1"/>
  <c r="P358" i="6" s="1"/>
  <c r="P359" i="6" s="1"/>
  <c r="P360" i="6" s="1"/>
  <c r="P361" i="6" s="1"/>
  <c r="P362" i="6" s="1"/>
  <c r="P363" i="6" s="1"/>
  <c r="P364" i="6" s="1"/>
  <c r="P365" i="6" s="1"/>
  <c r="P366" i="6" s="1"/>
  <c r="P367" i="6" s="1"/>
  <c r="P368" i="6" s="1"/>
  <c r="P369" i="6" s="1"/>
  <c r="P370" i="6" s="1"/>
  <c r="P371" i="6" s="1"/>
  <c r="P372" i="6" s="1"/>
  <c r="P373" i="6" s="1"/>
  <c r="P374" i="6" s="1"/>
  <c r="P375" i="6" s="1"/>
  <c r="P376" i="6" s="1"/>
  <c r="P377" i="6" s="1"/>
  <c r="P378" i="6" s="1"/>
  <c r="P379" i="6" s="1"/>
  <c r="P380" i="6" s="1"/>
  <c r="P381" i="6" s="1"/>
  <c r="P382" i="6" s="1"/>
  <c r="P383" i="6" s="1"/>
  <c r="P384" i="6" s="1"/>
  <c r="P385" i="6" s="1"/>
  <c r="P386" i="6" s="1"/>
  <c r="P387" i="6" s="1"/>
  <c r="P388" i="6" s="1"/>
  <c r="P389" i="6" s="1"/>
  <c r="P390" i="6" s="1"/>
  <c r="P391" i="6" s="1"/>
  <c r="P392" i="6" s="1"/>
  <c r="P393" i="6" s="1"/>
  <c r="P394" i="6" s="1"/>
  <c r="P395" i="6" s="1"/>
  <c r="P396" i="6" s="1"/>
  <c r="P397" i="6" s="1"/>
  <c r="P398" i="6" s="1"/>
  <c r="P399" i="6" s="1"/>
  <c r="P400" i="6" s="1"/>
  <c r="P401" i="6" s="1"/>
  <c r="P402" i="6" s="1"/>
  <c r="P403" i="6" s="1"/>
  <c r="P404" i="6" s="1"/>
  <c r="P405" i="6" s="1"/>
  <c r="P406" i="6" s="1"/>
  <c r="P407" i="6" s="1"/>
  <c r="P408" i="6" s="1"/>
  <c r="P409" i="6" s="1"/>
  <c r="P410" i="6" s="1"/>
  <c r="P411" i="6" s="1"/>
  <c r="P412" i="6" s="1"/>
  <c r="P413" i="6" s="1"/>
  <c r="P414" i="6" s="1"/>
  <c r="P415" i="6" s="1"/>
  <c r="P416" i="6" s="1"/>
  <c r="P417" i="6" s="1"/>
  <c r="P418" i="6" s="1"/>
  <c r="P419" i="6" s="1"/>
  <c r="P420" i="6" s="1"/>
  <c r="P421" i="6" s="1"/>
  <c r="P422" i="6" s="1"/>
  <c r="P423" i="6" s="1"/>
  <c r="P424" i="6" s="1"/>
  <c r="P425" i="6" s="1"/>
  <c r="P426" i="6" s="1"/>
  <c r="P427" i="6" s="1"/>
  <c r="P428" i="6" s="1"/>
  <c r="P429" i="6" s="1"/>
  <c r="P430" i="6" s="1"/>
  <c r="P431" i="6" s="1"/>
  <c r="P432" i="6" s="1"/>
  <c r="P433" i="6" s="1"/>
  <c r="P434" i="6" s="1"/>
  <c r="P435" i="6" s="1"/>
  <c r="P436" i="6" s="1"/>
  <c r="P437" i="6" s="1"/>
  <c r="P8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Q8" i="6"/>
  <c r="Q7" i="6"/>
  <c r="H20" i="6"/>
  <c r="H19" i="6"/>
  <c r="F20" i="6"/>
  <c r="F19" i="6"/>
  <c r="M20" i="6"/>
  <c r="M19" i="6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F38" i="4"/>
  <c r="F35" i="4"/>
  <c r="F34" i="4"/>
  <c r="F33" i="4"/>
  <c r="F32" i="4"/>
  <c r="F31" i="4"/>
  <c r="F30" i="4"/>
  <c r="F29" i="4"/>
  <c r="F28" i="4"/>
  <c r="F27" i="4"/>
  <c r="F26" i="4"/>
  <c r="F25" i="4"/>
  <c r="AG20" i="4"/>
  <c r="AG19" i="4"/>
  <c r="AG18" i="4"/>
  <c r="AG17" i="4"/>
  <c r="AG16" i="4"/>
  <c r="AG15" i="4"/>
  <c r="AG14" i="4"/>
  <c r="AG13" i="4"/>
  <c r="AG12" i="4"/>
  <c r="AG11" i="4"/>
  <c r="AC20" i="4"/>
  <c r="AC19" i="4"/>
  <c r="AC18" i="4"/>
  <c r="AC17" i="4"/>
  <c r="AC15" i="4"/>
  <c r="AC14" i="4"/>
  <c r="AC13" i="4"/>
  <c r="AC12" i="4"/>
  <c r="AC11" i="4"/>
  <c r="Z20" i="4"/>
  <c r="Y20" i="4"/>
  <c r="X20" i="4"/>
  <c r="W20" i="4"/>
  <c r="V20" i="4"/>
  <c r="U20" i="4"/>
  <c r="T20" i="4"/>
  <c r="S20" i="4"/>
  <c r="R20" i="4"/>
  <c r="Q20" i="4"/>
  <c r="Z19" i="4"/>
  <c r="Y19" i="4"/>
  <c r="X19" i="4"/>
  <c r="W19" i="4"/>
  <c r="V19" i="4"/>
  <c r="U19" i="4"/>
  <c r="T19" i="4"/>
  <c r="S19" i="4"/>
  <c r="R19" i="4"/>
  <c r="Q19" i="4"/>
  <c r="Z18" i="4"/>
  <c r="Y18" i="4"/>
  <c r="X18" i="4"/>
  <c r="W18" i="4"/>
  <c r="V18" i="4"/>
  <c r="U18" i="4"/>
  <c r="T18" i="4"/>
  <c r="S18" i="4"/>
  <c r="R18" i="4"/>
  <c r="Q18" i="4"/>
  <c r="Z17" i="4"/>
  <c r="Y17" i="4"/>
  <c r="X17" i="4"/>
  <c r="W17" i="4"/>
  <c r="V17" i="4"/>
  <c r="U17" i="4"/>
  <c r="T17" i="4"/>
  <c r="S17" i="4"/>
  <c r="R17" i="4"/>
  <c r="Q17" i="4"/>
  <c r="Z16" i="4"/>
  <c r="Y16" i="4"/>
  <c r="X16" i="4"/>
  <c r="W16" i="4"/>
  <c r="V16" i="4"/>
  <c r="U16" i="4"/>
  <c r="T16" i="4"/>
  <c r="AC16" i="4" s="1"/>
  <c r="S16" i="4"/>
  <c r="R16" i="4"/>
  <c r="Q16" i="4"/>
  <c r="Z15" i="4"/>
  <c r="Y15" i="4"/>
  <c r="X15" i="4"/>
  <c r="W15" i="4"/>
  <c r="V15" i="4"/>
  <c r="U15" i="4"/>
  <c r="T15" i="4"/>
  <c r="S15" i="4"/>
  <c r="R15" i="4"/>
  <c r="Q15" i="4"/>
  <c r="Z14" i="4"/>
  <c r="Y14" i="4"/>
  <c r="X14" i="4"/>
  <c r="W14" i="4"/>
  <c r="V14" i="4"/>
  <c r="U14" i="4"/>
  <c r="T14" i="4"/>
  <c r="S14" i="4"/>
  <c r="R14" i="4"/>
  <c r="Q14" i="4"/>
  <c r="Z13" i="4"/>
  <c r="Y13" i="4"/>
  <c r="X13" i="4"/>
  <c r="W13" i="4"/>
  <c r="V13" i="4"/>
  <c r="U13" i="4"/>
  <c r="T13" i="4"/>
  <c r="S13" i="4"/>
  <c r="R13" i="4"/>
  <c r="Q13" i="4"/>
  <c r="Z12" i="4"/>
  <c r="Y12" i="4"/>
  <c r="X12" i="4"/>
  <c r="W12" i="4"/>
  <c r="V12" i="4"/>
  <c r="U12" i="4"/>
  <c r="T12" i="4"/>
  <c r="S12" i="4"/>
  <c r="R12" i="4"/>
  <c r="Q12" i="4"/>
  <c r="Z11" i="4"/>
  <c r="Y11" i="4"/>
  <c r="X11" i="4"/>
  <c r="W11" i="4"/>
  <c r="V11" i="4"/>
  <c r="U11" i="4"/>
  <c r="T11" i="4"/>
  <c r="S11" i="4"/>
  <c r="R11" i="4"/>
  <c r="D11" i="1"/>
  <c r="C44" i="1"/>
  <c r="C43" i="1"/>
  <c r="C42" i="1"/>
  <c r="C41" i="1"/>
  <c r="C40" i="1"/>
  <c r="C39" i="1"/>
  <c r="C38" i="1"/>
  <c r="C37" i="1"/>
  <c r="C36" i="1"/>
  <c r="C35" i="1"/>
  <c r="B37" i="1"/>
  <c r="B38" i="1" s="1"/>
  <c r="B39" i="1" s="1"/>
  <c r="B40" i="1" s="1"/>
  <c r="B41" i="1" s="1"/>
  <c r="B42" i="1" s="1"/>
  <c r="B43" i="1" s="1"/>
  <c r="B44" i="1" s="1"/>
  <c r="B36" i="1"/>
  <c r="AA20" i="4"/>
  <c r="AA19" i="4"/>
  <c r="AA18" i="4"/>
  <c r="AA17" i="4"/>
  <c r="AA16" i="4"/>
  <c r="AA15" i="4"/>
  <c r="AA14" i="4"/>
  <c r="AA13" i="4"/>
  <c r="AA12" i="4"/>
  <c r="AA11" i="4"/>
  <c r="Q11" i="4"/>
  <c r="C12" i="4"/>
  <c r="C13" i="4" s="1"/>
  <c r="C14" i="4" s="1"/>
  <c r="C15" i="4" s="1"/>
  <c r="C16" i="4" s="1"/>
  <c r="C17" i="4" s="1"/>
  <c r="C18" i="4" s="1"/>
  <c r="C19" i="4" s="1"/>
  <c r="C20" i="4" s="1"/>
  <c r="F8" i="4"/>
  <c r="G8" i="4" s="1"/>
  <c r="H8" i="4" s="1"/>
  <c r="I8" i="4" s="1"/>
  <c r="J8" i="4" s="1"/>
  <c r="K8" i="4" s="1"/>
  <c r="L8" i="4" s="1"/>
  <c r="M8" i="4" s="1"/>
  <c r="N8" i="4" s="1"/>
  <c r="O8" i="4" s="1"/>
  <c r="F41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E21" i="3"/>
  <c r="E22" i="3" s="1"/>
  <c r="E23" i="3" s="1"/>
  <c r="E24" i="3" s="1"/>
  <c r="E25" i="3" s="1"/>
  <c r="E26" i="3" s="1"/>
  <c r="E27" i="3" s="1"/>
  <c r="E29" i="3" s="1"/>
  <c r="E30" i="3" s="1"/>
  <c r="E31" i="3" s="1"/>
  <c r="E32" i="3" s="1"/>
  <c r="E33" i="3" s="1"/>
  <c r="E34" i="3" s="1"/>
  <c r="E35" i="3" s="1"/>
  <c r="E36" i="3" s="1"/>
  <c r="E37" i="3" s="1"/>
  <c r="E13" i="3"/>
  <c r="E14" i="3" s="1"/>
  <c r="E15" i="3" s="1"/>
  <c r="E16" i="3" s="1"/>
  <c r="E17" i="3" s="1"/>
  <c r="E19" i="3" s="1"/>
  <c r="E20" i="3" s="1"/>
  <c r="E12" i="3"/>
  <c r="E11" i="3"/>
  <c r="E10" i="3"/>
  <c r="E9" i="3"/>
  <c r="C39" i="2"/>
  <c r="C38" i="2"/>
  <c r="C37" i="2"/>
  <c r="C36" i="2"/>
  <c r="C35" i="2"/>
  <c r="C34" i="2"/>
  <c r="C33" i="2"/>
  <c r="C32" i="2"/>
  <c r="C31" i="2"/>
  <c r="C30" i="2"/>
  <c r="K39" i="2"/>
  <c r="K38" i="2"/>
  <c r="K37" i="2"/>
  <c r="K36" i="2"/>
  <c r="K35" i="2"/>
  <c r="K34" i="2"/>
  <c r="K33" i="2"/>
  <c r="K32" i="2"/>
  <c r="K31" i="2"/>
  <c r="K30" i="2"/>
  <c r="N30" i="2" s="1"/>
  <c r="N39" i="2"/>
  <c r="N38" i="2"/>
  <c r="N37" i="2"/>
  <c r="N36" i="2"/>
  <c r="N35" i="2"/>
  <c r="N34" i="2"/>
  <c r="N33" i="2"/>
  <c r="N32" i="2"/>
  <c r="N31" i="2"/>
  <c r="I39" i="2"/>
  <c r="I38" i="2"/>
  <c r="I37" i="2"/>
  <c r="I36" i="2"/>
  <c r="I35" i="2"/>
  <c r="I34" i="2"/>
  <c r="I33" i="2"/>
  <c r="I32" i="2"/>
  <c r="I31" i="2"/>
  <c r="I30" i="2"/>
  <c r="G39" i="2"/>
  <c r="G38" i="2"/>
  <c r="G37" i="2"/>
  <c r="G36" i="2"/>
  <c r="G35" i="2"/>
  <c r="G34" i="2"/>
  <c r="G33" i="2"/>
  <c r="G32" i="2"/>
  <c r="G31" i="2"/>
  <c r="G30" i="2"/>
  <c r="I19" i="2"/>
  <c r="G19" i="2"/>
  <c r="K19" i="2" s="1"/>
  <c r="I18" i="2"/>
  <c r="G18" i="2"/>
  <c r="K18" i="2" s="1"/>
  <c r="I17" i="2"/>
  <c r="G17" i="2"/>
  <c r="K17" i="2" s="1"/>
  <c r="I16" i="2"/>
  <c r="G16" i="2"/>
  <c r="K16" i="2" s="1"/>
  <c r="I15" i="2"/>
  <c r="G15" i="2"/>
  <c r="K15" i="2" s="1"/>
  <c r="I14" i="2"/>
  <c r="G14" i="2"/>
  <c r="K14" i="2" s="1"/>
  <c r="I13" i="2"/>
  <c r="K13" i="2" s="1"/>
  <c r="G13" i="2"/>
  <c r="I12" i="2"/>
  <c r="G12" i="2"/>
  <c r="K12" i="2" s="1"/>
  <c r="I11" i="2"/>
  <c r="G11" i="2"/>
  <c r="K11" i="2" s="1"/>
  <c r="K10" i="2"/>
  <c r="I10" i="2"/>
  <c r="G10" i="2"/>
  <c r="D21" i="1"/>
  <c r="D20" i="1"/>
  <c r="D19" i="1"/>
  <c r="D18" i="1"/>
  <c r="D17" i="1"/>
  <c r="D16" i="1"/>
  <c r="D15" i="1"/>
  <c r="D14" i="1"/>
  <c r="D13" i="1"/>
  <c r="D12" i="1"/>
  <c r="D10" i="1"/>
  <c r="D9" i="1"/>
  <c r="D8" i="1"/>
  <c r="D7" i="1"/>
  <c r="D6" i="1"/>
  <c r="D5" i="1"/>
  <c r="D4" i="1"/>
  <c r="D3" i="1"/>
  <c r="D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32" i="1"/>
  <c r="J31" i="1"/>
  <c r="J30" i="1"/>
  <c r="J29" i="1"/>
  <c r="I32" i="1"/>
  <c r="I31" i="1"/>
  <c r="I30" i="1"/>
  <c r="I29" i="1"/>
  <c r="Q15" i="6" l="1"/>
  <c r="Q16" i="6"/>
  <c r="Q17" i="6"/>
  <c r="Q18" i="6"/>
  <c r="Q9" i="6"/>
  <c r="Q11" i="6"/>
  <c r="Q12" i="6"/>
  <c r="Q13" i="6"/>
  <c r="Q10" i="6"/>
  <c r="Q14" i="6"/>
  <c r="Q19" i="6" l="1"/>
  <c r="Q20" i="6" l="1"/>
  <c r="Q21" i="6" l="1"/>
  <c r="Q22" i="6" l="1"/>
  <c r="Q23" i="6" l="1"/>
  <c r="Q24" i="6" l="1"/>
  <c r="Q25" i="6" l="1"/>
  <c r="Q26" i="6" l="1"/>
  <c r="Q27" i="6" l="1"/>
  <c r="Q28" i="6" l="1"/>
  <c r="Q29" i="6" l="1"/>
  <c r="Q30" i="6" l="1"/>
  <c r="Q31" i="6" l="1"/>
  <c r="Q32" i="6" l="1"/>
  <c r="Q33" i="6" l="1"/>
  <c r="Q34" i="6" l="1"/>
  <c r="Q35" i="6" l="1"/>
  <c r="Q36" i="6" l="1"/>
  <c r="Q37" i="6" l="1"/>
  <c r="Q38" i="6" l="1"/>
  <c r="Q39" i="6" l="1"/>
  <c r="Q40" i="6" l="1"/>
  <c r="Q41" i="6" l="1"/>
  <c r="Q42" i="6" l="1"/>
  <c r="Q43" i="6" l="1"/>
  <c r="Q44" i="6" l="1"/>
  <c r="Q45" i="6" l="1"/>
  <c r="Q46" i="6" l="1"/>
  <c r="Q47" i="6" l="1"/>
  <c r="Q48" i="6" l="1"/>
  <c r="Q49" i="6" l="1"/>
  <c r="Q50" i="6" l="1"/>
  <c r="Q51" i="6" l="1"/>
  <c r="Q52" i="6" l="1"/>
  <c r="Q53" i="6" l="1"/>
  <c r="Q54" i="6" l="1"/>
  <c r="Q55" i="6" l="1"/>
  <c r="Q56" i="6" l="1"/>
  <c r="Q57" i="6" l="1"/>
  <c r="Q58" i="6" l="1"/>
  <c r="Q59" i="6" l="1"/>
  <c r="Q60" i="6" l="1"/>
  <c r="Q61" i="6" l="1"/>
  <c r="Q62" i="6" l="1"/>
  <c r="Q63" i="6" l="1"/>
  <c r="Q64" i="6" l="1"/>
  <c r="Q65" i="6" l="1"/>
  <c r="Q66" i="6" l="1"/>
  <c r="Q67" i="6" l="1"/>
  <c r="Q68" i="6" l="1"/>
  <c r="Q69" i="6" l="1"/>
  <c r="Q70" i="6" l="1"/>
  <c r="Q71" i="6" l="1"/>
  <c r="Q72" i="6" l="1"/>
  <c r="Q73" i="6" l="1"/>
  <c r="Q74" i="6" l="1"/>
  <c r="Q75" i="6" l="1"/>
  <c r="Q76" i="6" l="1"/>
  <c r="Q77" i="6" l="1"/>
  <c r="Q78" i="6" l="1"/>
  <c r="Q79" i="6" l="1"/>
  <c r="Q80" i="6" l="1"/>
  <c r="Q81" i="6" l="1"/>
  <c r="Q82" i="6" l="1"/>
  <c r="Q83" i="6" l="1"/>
  <c r="Q84" i="6" l="1"/>
  <c r="Q85" i="6" l="1"/>
  <c r="Q86" i="6" l="1"/>
  <c r="Q87" i="6" l="1"/>
  <c r="Q88" i="6" l="1"/>
  <c r="Q89" i="6" l="1"/>
  <c r="Q90" i="6" l="1"/>
  <c r="Q91" i="6" l="1"/>
  <c r="Q92" i="6" l="1"/>
  <c r="Q93" i="6" l="1"/>
  <c r="Q94" i="6" l="1"/>
  <c r="Q95" i="6" l="1"/>
  <c r="Q96" i="6" l="1"/>
  <c r="Q97" i="6" l="1"/>
  <c r="Q98" i="6" l="1"/>
  <c r="Q99" i="6" l="1"/>
  <c r="Q100" i="6" l="1"/>
  <c r="Q101" i="6" l="1"/>
  <c r="Q102" i="6" l="1"/>
  <c r="Q103" i="6" l="1"/>
  <c r="Q104" i="6" l="1"/>
  <c r="Q105" i="6" l="1"/>
  <c r="Q106" i="6" l="1"/>
  <c r="Q107" i="6" l="1"/>
  <c r="Q108" i="6" l="1"/>
  <c r="Q109" i="6" l="1"/>
  <c r="Q110" i="6" l="1"/>
  <c r="Q111" i="6" l="1"/>
  <c r="Q112" i="6" l="1"/>
  <c r="Q113" i="6" l="1"/>
  <c r="Q114" i="6" l="1"/>
  <c r="Q115" i="6" l="1"/>
  <c r="Q116" i="6" l="1"/>
  <c r="Q117" i="6" l="1"/>
  <c r="Q118" i="6" l="1"/>
  <c r="Q119" i="6" l="1"/>
  <c r="Q120" i="6" l="1"/>
  <c r="Q121" i="6" l="1"/>
  <c r="Q122" i="6" l="1"/>
  <c r="Q123" i="6" l="1"/>
  <c r="Q124" i="6" l="1"/>
  <c r="Q125" i="6" l="1"/>
  <c r="Q126" i="6" l="1"/>
  <c r="Q127" i="6" l="1"/>
  <c r="Q128" i="6" l="1"/>
  <c r="Q129" i="6" l="1"/>
  <c r="Q130" i="6" l="1"/>
  <c r="Q131" i="6" l="1"/>
  <c r="Q132" i="6" l="1"/>
  <c r="Q133" i="6" l="1"/>
  <c r="Q134" i="6" l="1"/>
  <c r="Q135" i="6" l="1"/>
  <c r="Q136" i="6" l="1"/>
  <c r="Q137" i="6" l="1"/>
  <c r="Q138" i="6" l="1"/>
  <c r="Q139" i="6" l="1"/>
  <c r="Q140" i="6" l="1"/>
  <c r="Q141" i="6" l="1"/>
  <c r="Q142" i="6" l="1"/>
  <c r="Q143" i="6" l="1"/>
  <c r="Q144" i="6" l="1"/>
  <c r="Q145" i="6" l="1"/>
  <c r="Q146" i="6" l="1"/>
  <c r="Q147" i="6" l="1"/>
  <c r="Q148" i="6" l="1"/>
  <c r="Q149" i="6" l="1"/>
  <c r="Q150" i="6" l="1"/>
  <c r="Q151" i="6" l="1"/>
  <c r="Q152" i="6" l="1"/>
  <c r="Q153" i="6" l="1"/>
  <c r="Q154" i="6" l="1"/>
  <c r="Q155" i="6" l="1"/>
  <c r="Q156" i="6" l="1"/>
  <c r="Q157" i="6" l="1"/>
  <c r="Q158" i="6" l="1"/>
  <c r="Q159" i="6" l="1"/>
  <c r="Q160" i="6" l="1"/>
  <c r="Q161" i="6" l="1"/>
  <c r="Q162" i="6" l="1"/>
  <c r="Q163" i="6" l="1"/>
  <c r="Q164" i="6" l="1"/>
  <c r="Q165" i="6" l="1"/>
  <c r="Q166" i="6" l="1"/>
  <c r="Q167" i="6" l="1"/>
  <c r="Q168" i="6" l="1"/>
  <c r="Q169" i="6" l="1"/>
  <c r="Q170" i="6" l="1"/>
  <c r="Q171" i="6" l="1"/>
  <c r="Q172" i="6" l="1"/>
  <c r="Q173" i="6" l="1"/>
  <c r="Q174" i="6" l="1"/>
  <c r="Q175" i="6" l="1"/>
  <c r="Q176" i="6" l="1"/>
  <c r="Q177" i="6" l="1"/>
  <c r="Q178" i="6" l="1"/>
  <c r="Q179" i="6" l="1"/>
  <c r="Q180" i="6" l="1"/>
  <c r="Q181" i="6" l="1"/>
  <c r="Q182" i="6" l="1"/>
  <c r="Q183" i="6" l="1"/>
  <c r="Q184" i="6" l="1"/>
  <c r="Q185" i="6" l="1"/>
  <c r="Q186" i="6" l="1"/>
  <c r="Q187" i="6" l="1"/>
  <c r="Q188" i="6" l="1"/>
  <c r="Q189" i="6" l="1"/>
  <c r="Q190" i="6" l="1"/>
  <c r="Q191" i="6" l="1"/>
  <c r="Q192" i="6" l="1"/>
  <c r="Q193" i="6" l="1"/>
  <c r="Q194" i="6" l="1"/>
  <c r="Q195" i="6" l="1"/>
  <c r="Q196" i="6" l="1"/>
  <c r="Q197" i="6" l="1"/>
  <c r="Q198" i="6" l="1"/>
  <c r="Q199" i="6" l="1"/>
  <c r="Q200" i="6" l="1"/>
  <c r="Q201" i="6" l="1"/>
  <c r="Q202" i="6" l="1"/>
  <c r="Q203" i="6" l="1"/>
  <c r="Q204" i="6" l="1"/>
  <c r="Q205" i="6" l="1"/>
  <c r="Q206" i="6" l="1"/>
  <c r="Q207" i="6" l="1"/>
  <c r="Q208" i="6" l="1"/>
  <c r="Q209" i="6" l="1"/>
  <c r="Q210" i="6" l="1"/>
  <c r="Q211" i="6" l="1"/>
  <c r="Q212" i="6" l="1"/>
  <c r="Q213" i="6" l="1"/>
  <c r="Q214" i="6" l="1"/>
  <c r="Q215" i="6" l="1"/>
  <c r="Q216" i="6" l="1"/>
  <c r="Q217" i="6" l="1"/>
  <c r="Q218" i="6" l="1"/>
  <c r="Q219" i="6" l="1"/>
  <c r="Q220" i="6" l="1"/>
  <c r="Q221" i="6" l="1"/>
  <c r="Q222" i="6" l="1"/>
  <c r="Q223" i="6" l="1"/>
  <c r="Q224" i="6" l="1"/>
  <c r="Q225" i="6" l="1"/>
  <c r="Q226" i="6" l="1"/>
  <c r="Q227" i="6" l="1"/>
  <c r="Q228" i="6" l="1"/>
  <c r="Q229" i="6" l="1"/>
  <c r="Q230" i="6" l="1"/>
  <c r="Q231" i="6" l="1"/>
  <c r="Q232" i="6" l="1"/>
  <c r="Q233" i="6" l="1"/>
  <c r="Q234" i="6" l="1"/>
  <c r="Q235" i="6" l="1"/>
  <c r="Q236" i="6" l="1"/>
  <c r="Q237" i="6" l="1"/>
  <c r="Q238" i="6" l="1"/>
  <c r="Q239" i="6" l="1"/>
  <c r="Q240" i="6" l="1"/>
  <c r="Q241" i="6" l="1"/>
  <c r="Q242" i="6" l="1"/>
  <c r="Q243" i="6" l="1"/>
  <c r="Q244" i="6" l="1"/>
  <c r="Q245" i="6" l="1"/>
  <c r="Q246" i="6" l="1"/>
  <c r="Q247" i="6" l="1"/>
  <c r="Q248" i="6" l="1"/>
  <c r="Q249" i="6" l="1"/>
  <c r="Q250" i="6" l="1"/>
  <c r="Q251" i="6" l="1"/>
  <c r="Q252" i="6" l="1"/>
  <c r="Q253" i="6" l="1"/>
  <c r="Q254" i="6" l="1"/>
  <c r="Q255" i="6" l="1"/>
  <c r="Q256" i="6" l="1"/>
  <c r="Q257" i="6" l="1"/>
  <c r="Q258" i="6" l="1"/>
  <c r="Q259" i="6" l="1"/>
  <c r="Q260" i="6" l="1"/>
  <c r="Q261" i="6" l="1"/>
  <c r="Q262" i="6" l="1"/>
  <c r="Q263" i="6" l="1"/>
  <c r="Q264" i="6" l="1"/>
  <c r="Q265" i="6" l="1"/>
  <c r="Q266" i="6" l="1"/>
  <c r="Q267" i="6" l="1"/>
  <c r="Q268" i="6" l="1"/>
  <c r="Q269" i="6" l="1"/>
  <c r="Q270" i="6" l="1"/>
  <c r="Q271" i="6" l="1"/>
  <c r="Q272" i="6" l="1"/>
  <c r="Q273" i="6" l="1"/>
  <c r="Q274" i="6" l="1"/>
  <c r="Q275" i="6" l="1"/>
  <c r="Q276" i="6" l="1"/>
  <c r="Q277" i="6" l="1"/>
  <c r="Q278" i="6" l="1"/>
  <c r="Q279" i="6" l="1"/>
  <c r="Q280" i="6" l="1"/>
  <c r="Q281" i="6" l="1"/>
  <c r="Q282" i="6" l="1"/>
  <c r="Q283" i="6" l="1"/>
  <c r="Q284" i="6" l="1"/>
  <c r="Q285" i="6" l="1"/>
  <c r="Q286" i="6" l="1"/>
  <c r="Q287" i="6" l="1"/>
  <c r="Q288" i="6" l="1"/>
  <c r="Q289" i="6" l="1"/>
  <c r="Q290" i="6" l="1"/>
  <c r="Q291" i="6" l="1"/>
  <c r="Q292" i="6" l="1"/>
  <c r="Q293" i="6" l="1"/>
  <c r="Q294" i="6" l="1"/>
  <c r="Q295" i="6" l="1"/>
  <c r="Q296" i="6" l="1"/>
  <c r="Q297" i="6" l="1"/>
  <c r="Q298" i="6" l="1"/>
  <c r="Q299" i="6" l="1"/>
  <c r="Q300" i="6" l="1"/>
  <c r="Q301" i="6" l="1"/>
  <c r="Q302" i="6" l="1"/>
  <c r="Q303" i="6" l="1"/>
  <c r="Q304" i="6" l="1"/>
  <c r="Q305" i="6" l="1"/>
  <c r="Q306" i="6" l="1"/>
  <c r="Q307" i="6" l="1"/>
  <c r="Q308" i="6" l="1"/>
  <c r="Q309" i="6" l="1"/>
  <c r="Q310" i="6" l="1"/>
  <c r="Q311" i="6" l="1"/>
  <c r="Q312" i="6" l="1"/>
  <c r="Q313" i="6" l="1"/>
  <c r="Q314" i="6" l="1"/>
  <c r="Q315" i="6" l="1"/>
  <c r="Q316" i="6" l="1"/>
  <c r="Q317" i="6" l="1"/>
  <c r="Q318" i="6" l="1"/>
  <c r="Q319" i="6" l="1"/>
  <c r="Q320" i="6" l="1"/>
  <c r="Q321" i="6" l="1"/>
  <c r="Q322" i="6" l="1"/>
  <c r="Q323" i="6" l="1"/>
  <c r="Q324" i="6" l="1"/>
  <c r="Q325" i="6" l="1"/>
  <c r="Q326" i="6" l="1"/>
  <c r="Q327" i="6" l="1"/>
  <c r="Q328" i="6" l="1"/>
  <c r="Q329" i="6" l="1"/>
  <c r="Q330" i="6" l="1"/>
  <c r="Q331" i="6" l="1"/>
  <c r="Q332" i="6" l="1"/>
  <c r="Q333" i="6" l="1"/>
  <c r="Q334" i="6" l="1"/>
  <c r="Q335" i="6" l="1"/>
  <c r="Q336" i="6" l="1"/>
  <c r="Q337" i="6" l="1"/>
  <c r="Q338" i="6" l="1"/>
  <c r="Q339" i="6" l="1"/>
  <c r="Q340" i="6" l="1"/>
  <c r="Q341" i="6" l="1"/>
  <c r="Q342" i="6" l="1"/>
  <c r="Q343" i="6" l="1"/>
  <c r="Q344" i="6" l="1"/>
  <c r="Q345" i="6" l="1"/>
  <c r="Q346" i="6" l="1"/>
  <c r="Q347" i="6" l="1"/>
  <c r="Q348" i="6" l="1"/>
  <c r="Q349" i="6" l="1"/>
  <c r="Q350" i="6" l="1"/>
  <c r="Q351" i="6" l="1"/>
  <c r="Q352" i="6" l="1"/>
  <c r="Q353" i="6" l="1"/>
  <c r="Q354" i="6" l="1"/>
  <c r="Q355" i="6" l="1"/>
  <c r="Q356" i="6" l="1"/>
  <c r="Q357" i="6" l="1"/>
  <c r="Q358" i="6" l="1"/>
  <c r="Q359" i="6" l="1"/>
  <c r="Q360" i="6" l="1"/>
  <c r="Q361" i="6" l="1"/>
  <c r="Q362" i="6" l="1"/>
  <c r="Q363" i="6" l="1"/>
  <c r="Q364" i="6" l="1"/>
  <c r="Q365" i="6" l="1"/>
  <c r="Q366" i="6" l="1"/>
  <c r="Q367" i="6" l="1"/>
  <c r="Q368" i="6" l="1"/>
  <c r="Q369" i="6" l="1"/>
  <c r="Q370" i="6" l="1"/>
  <c r="Q371" i="6" l="1"/>
  <c r="Q372" i="6" l="1"/>
  <c r="Q373" i="6" l="1"/>
  <c r="Q374" i="6" l="1"/>
  <c r="Q375" i="6" l="1"/>
  <c r="Q376" i="6" l="1"/>
  <c r="Q377" i="6" l="1"/>
  <c r="Q378" i="6" l="1"/>
  <c r="Q379" i="6" l="1"/>
  <c r="Q380" i="6" l="1"/>
  <c r="Q381" i="6" l="1"/>
  <c r="Q382" i="6" l="1"/>
  <c r="Q383" i="6" l="1"/>
  <c r="Q384" i="6" l="1"/>
  <c r="Q385" i="6" l="1"/>
  <c r="Q386" i="6" l="1"/>
  <c r="Q387" i="6" l="1"/>
  <c r="Q388" i="6" l="1"/>
  <c r="Q389" i="6" l="1"/>
  <c r="Q390" i="6" l="1"/>
  <c r="Q391" i="6" l="1"/>
  <c r="Q392" i="6" l="1"/>
  <c r="Q393" i="6" l="1"/>
  <c r="Q394" i="6" l="1"/>
  <c r="Q395" i="6" l="1"/>
  <c r="Q396" i="6" l="1"/>
  <c r="Q397" i="6" l="1"/>
  <c r="Q398" i="6" l="1"/>
  <c r="Q399" i="6" l="1"/>
  <c r="Q400" i="6" l="1"/>
  <c r="Q401" i="6" l="1"/>
  <c r="Q402" i="6" l="1"/>
  <c r="Q403" i="6" l="1"/>
  <c r="Q404" i="6" l="1"/>
  <c r="Q405" i="6" l="1"/>
  <c r="Q406" i="6" l="1"/>
  <c r="Q407" i="6" l="1"/>
  <c r="Q408" i="6" l="1"/>
  <c r="Q409" i="6" l="1"/>
  <c r="Q410" i="6" l="1"/>
  <c r="Q411" i="6" l="1"/>
  <c r="Q412" i="6" l="1"/>
  <c r="Q413" i="6" l="1"/>
  <c r="Q414" i="6" l="1"/>
  <c r="Q415" i="6" l="1"/>
  <c r="Q416" i="6" l="1"/>
  <c r="Q417" i="6" l="1"/>
  <c r="Q418" i="6" l="1"/>
  <c r="Q419" i="6" l="1"/>
  <c r="Q420" i="6" l="1"/>
  <c r="Q421" i="6" l="1"/>
  <c r="Q422" i="6" l="1"/>
  <c r="Q423" i="6" l="1"/>
  <c r="Q424" i="6" l="1"/>
  <c r="Q425" i="6" l="1"/>
  <c r="Q426" i="6" l="1"/>
  <c r="Q427" i="6" l="1"/>
  <c r="Q428" i="6" l="1"/>
  <c r="Q429" i="6" l="1"/>
  <c r="Q430" i="6" l="1"/>
  <c r="Q431" i="6" l="1"/>
  <c r="Q432" i="6" l="1"/>
  <c r="Q433" i="6" l="1"/>
  <c r="Q434" i="6" l="1"/>
  <c r="Q435" i="6" l="1"/>
  <c r="Q437" i="6" l="1"/>
  <c r="Q436" i="6"/>
</calcChain>
</file>

<file path=xl/sharedStrings.xml><?xml version="1.0" encoding="utf-8"?>
<sst xmlns="http://schemas.openxmlformats.org/spreadsheetml/2006/main" count="463" uniqueCount="293">
  <si>
    <t>cFxIndex = preset.pFxIndex;</t>
  </si>
  <si>
    <t>cBright = preset.pBright;</t>
  </si>
  <si>
    <t>cColOrd = preset.pColOrd;</t>
  </si>
  <si>
    <t>cSpeed = preset.pSpeed;</t>
  </si>
  <si>
    <t>cZoom = preset.pZoom;</t>
  </si>
  <si>
    <t>cScale = preset.pScale;</t>
  </si>
  <si>
    <t>cAngle = preset.pAngle;</t>
  </si>
  <si>
    <t>cRadius = preset.pRadius;</t>
  </si>
  <si>
    <t>cEdge = preset.pEdge;</t>
  </si>
  <si>
    <t>cZ = preset.pZ;</t>
  </si>
  <si>
    <t>cRatBase = preset.pRatBase;</t>
  </si>
  <si>
    <t>cRatDiff = preset.pRatDiff;</t>
  </si>
  <si>
    <t>cOffBase = preset.pOffBase;</t>
  </si>
  <si>
    <t>cOffDiff = preset.pOffDiff;</t>
  </si>
  <si>
    <t>cRed = preset.pRed;</t>
  </si>
  <si>
    <t>cGreen = preset.pGreen;</t>
  </si>
  <si>
    <t>cBlue = preset.pBlue;</t>
  </si>
  <si>
    <t>cFxIndex</t>
  </si>
  <si>
    <t>cBright</t>
  </si>
  <si>
    <t>cColOrd</t>
  </si>
  <si>
    <t>cSpeed</t>
  </si>
  <si>
    <t>cZoom</t>
  </si>
  <si>
    <t>cScale</t>
  </si>
  <si>
    <t>cAngle</t>
  </si>
  <si>
    <t>cRadius</t>
  </si>
  <si>
    <t>cEdge</t>
  </si>
  <si>
    <t>cZ</t>
  </si>
  <si>
    <t>cRatBase</t>
  </si>
  <si>
    <t>cRatDiff</t>
  </si>
  <si>
    <t>cOffBase</t>
  </si>
  <si>
    <t>cOffDiff</t>
  </si>
  <si>
    <t>cRed</t>
  </si>
  <si>
    <t>cGreen</t>
  </si>
  <si>
    <t>cBlue</t>
  </si>
  <si>
    <t>preset.pFxIndex</t>
  </si>
  <si>
    <t>preset.pBright</t>
  </si>
  <si>
    <t>preset.pColOrd</t>
  </si>
  <si>
    <t>preset.pSpeed</t>
  </si>
  <si>
    <t>preset.pZoom</t>
  </si>
  <si>
    <t>preset.pScale</t>
  </si>
  <si>
    <t>preset.pAngle</t>
  </si>
  <si>
    <t>preset.pRadius</t>
  </si>
  <si>
    <t>preset.pEdge</t>
  </si>
  <si>
    <t>preset.pZ</t>
  </si>
  <si>
    <t>preset.pRatBase</t>
  </si>
  <si>
    <t>preset.pRatDiff</t>
  </si>
  <si>
    <t>preset.pOffBase</t>
  </si>
  <si>
    <t>preset.pOffDiff</t>
  </si>
  <si>
    <t>preset.pRed</t>
  </si>
  <si>
    <t>preset.pGreen</t>
  </si>
  <si>
    <t>preset.pBlue</t>
  </si>
  <si>
    <t xml:space="preserve">};   </t>
  </si>
  <si>
    <t>FxIndex</t>
  </si>
  <si>
    <t>Bright</t>
  </si>
  <si>
    <t>ColOrd</t>
  </si>
  <si>
    <t>Speed</t>
  </si>
  <si>
    <t>Zoom</t>
  </si>
  <si>
    <t>Scale</t>
  </si>
  <si>
    <t>Angle</t>
  </si>
  <si>
    <t>Radius</t>
  </si>
  <si>
    <t>Edge</t>
  </si>
  <si>
    <t>Z</t>
  </si>
  <si>
    <t>RatBase</t>
  </si>
  <si>
    <t>RatDiff</t>
  </si>
  <si>
    <t>OffBase</t>
  </si>
  <si>
    <t>OffDiff</t>
  </si>
  <si>
    <t>Red</t>
  </si>
  <si>
    <t>Green</t>
  </si>
  <si>
    <t>Blue</t>
  </si>
  <si>
    <t>if (cAngle != preset.pAngle){</t>
  </si>
  <si>
    <t>sendReceiptNumber("inAngle",cAngle);</t>
  </si>
  <si>
    <t>PresetID</t>
  </si>
  <si>
    <t>PresetName</t>
  </si>
  <si>
    <t xml:space="preserve">if (receivedValue == </t>
  </si>
  <si>
    <t>) { capturePreset(preset</t>
  </si>
  <si>
    <t>); }</t>
  </si>
  <si>
    <t xml:space="preserve">      if (receivedValue == 21) { retrievePreset("preset1", preset1); }</t>
  </si>
  <si>
    <t>if (receivedValue == 41) { retrievePreset("preset1", preset1); }</t>
  </si>
  <si>
    <t>) { retrievePreset("</t>
  </si>
  <si>
    <t>", preset1); }</t>
  </si>
  <si>
    <t>POLAR_WAVES</t>
  </si>
  <si>
    <t>SPIRALUS</t>
  </si>
  <si>
    <t>CALEIDO1</t>
  </si>
  <si>
    <t>WAVES</t>
  </si>
  <si>
    <t>CHASING_SPIRALS</t>
  </si>
  <si>
    <t>COMPLEX_KALEIDO_6</t>
  </si>
  <si>
    <t>WATER</t>
  </si>
  <si>
    <t>EXPERIMENT10</t>
  </si>
  <si>
    <t>EXPERIMENT_SM1</t>
  </si>
  <si>
    <t>TEST</t>
  </si>
  <si>
    <t>bool used</t>
  </si>
  <si>
    <t xml:space="preserve"> = parameterUsed[</t>
  </si>
  <si>
    <t>, cFxIndex];</t>
  </si>
  <si>
    <t>Twist</t>
  </si>
  <si>
    <t>need to add TWIST</t>
  </si>
  <si>
    <t>UISlider triggerSpeed("Trigger Speed", .4f, 0.0f, 1.0f, 0.01f); // Controls how frequently auto-triggers happen (lower = faster)</t>
  </si>
  <si>
    <t>UISlider blurAmount("Global Blur Amount", 0, 0, 172, 1);     // Controls overall blur amount for all layers</t>
  </si>
  <si>
    <t>UISlider blurPasses("Global Blur Passes", 1, 1, 10, 1);      // Controls how many times blur is applied (more = smoother but slower)</t>
  </si>
  <si>
    <t>UISlider superSample("SuperSampleExponent", 1.f, 0.f, 3.f, 1.f); // Controls anti-aliasing quality (higher = better quality but more CPU)</t>
  </si>
  <si>
    <t>UISlider speedLower("Wave Lower: Speed", 0.16f, 0.0f, 1.0f);           // How fast the lower wave propagates</t>
  </si>
  <si>
    <t>UISlider dampeningLower("Wave Lower: Dampening", 8.0f, 0.0f, 20.0f, 0.1f); // How quickly the lower wave loses energy</t>
  </si>
  <si>
    <t>UICheckbox halfDuplexLower("Wave Lower: Half Duplex", true);           // If true, waves only go positive (not negative)</t>
  </si>
  <si>
    <t>UISlider blurAmountLower("Wave Lower: Blur Amount", 0, 0, 172, 1);     // Blur amount for lower wave layer</t>
  </si>
  <si>
    <t>UISlider blurPassesLower("Wave Lower: Blur Passes", 1, 1, 10, 1);      // Blur passes for lower wave layer</t>
  </si>
  <si>
    <t>UISlider speedUpper("Wave Upper: Speed", 0.24f, 0.0f, 1.0f);           // How fast the upper wave propagates</t>
  </si>
  <si>
    <t>UISlider dampeningUpper("Wave Upper: Dampening", 6.0f, 0.0f, 20.0f, 0.1f); // How quickly the upper wave loses energy</t>
  </si>
  <si>
    <t>UICheckbox halfDuplexUpper("Wave Upper: Half Duplex", true);           // If true, waves only go positive (not negative)</t>
  </si>
  <si>
    <t>UISlider blurAmountUpper("Wave Upper: Blur Amount", 12, 0, 172, 1);    // Blur amount for upper wave layer</t>
  </si>
  <si>
    <t>UISlider blurPassesUpper("Wave Upper: Blur Passes", 1, 1, 10, 1);      // Blur passes for upper wave layer</t>
  </si>
  <si>
    <t>UISlider fancySpeed("Fancy Speed", 500, 0, 1000, 1);                   // Speed of the fancy effect animation</t>
  </si>
  <si>
    <t>UISlider fancyIntensity("Fancy Intensity", 50, 1, 255, 1);             // Intensity/height of the fancy effect waves</t>
  </si>
  <si>
    <t>UISlider fancyParticleSpan("Fancy Particle Span", 0.04f, 0.01f, 0.2f, 0.01f); // Width of the fancy effect lines</t>
  </si>
  <si>
    <t>float</t>
  </si>
  <si>
    <t>bool</t>
  </si>
  <si>
    <t>uint8_t</t>
  </si>
  <si>
    <t>uint16_t</t>
  </si>
  <si>
    <t>.4f</t>
  </si>
  <si>
    <t>.16f</t>
  </si>
  <si>
    <t>.24f</t>
  </si>
  <si>
    <t>.04f</t>
  </si>
  <si>
    <t>1.f</t>
  </si>
  <si>
    <t>8.0f</t>
  </si>
  <si>
    <t>6.0f</t>
  </si>
  <si>
    <t xml:space="preserve"> ms * (27/1) ) * (350 / HEIGHT));</t>
  </si>
  <si>
    <t>ms * (39/1) ) * (310 / WIDTH))</t>
  </si>
  <si>
    <t>MILLIS</t>
  </si>
  <si>
    <t>yHueDelta32: -54831</t>
  </si>
  <si>
    <t>yHueDelta32: 215243</t>
  </si>
  <si>
    <t>yHueDelta32: 96397</t>
  </si>
  <si>
    <t>yHueDelta32: -196994</t>
  </si>
  <si>
    <t>yHueDelta32: -133546</t>
  </si>
  <si>
    <t>yHueDelta32: 176729</t>
  </si>
  <si>
    <t>yHueDelta32: 159614</t>
  </si>
  <si>
    <t>yHueDelta32: -146846</t>
  </si>
  <si>
    <t>yHueDelta32: -187579</t>
  </si>
  <si>
    <t>yHueDelta32: 111797</t>
  </si>
  <si>
    <t>yHueDelta32: 208747</t>
  </si>
  <si>
    <t>yHueDelta32: -80367</t>
  </si>
  <si>
    <t>yHueDelta32: -220143</t>
  </si>
  <si>
    <t>yHueDelta32: 37730</t>
  </si>
  <si>
    <t>twist: {min: -3, max: 3, default: 1, step: 0.1},</t>
  </si>
  <si>
    <t>ratBase: {min: -.25, max: .5, default: 0, step: 0.01},</t>
  </si>
  <si>
    <t>ratDiff: {min: 0.1, max: 5, default: 1, step: 0.1},</t>
  </si>
  <si>
    <t>offBase: {min: 0.1, max: 5, default: 1, step: 0.1},</t>
  </si>
  <si>
    <t>offDiff: {min: 0.1, max: 5, default: 1, step: 0.1},</t>
  </si>
  <si>
    <t>customA: {min: 0.1, max: 5, default: 1, step: 0.1},</t>
  </si>
  <si>
    <t>customB: {min: 0.1, max: 5, default: 1, step: 0.1},</t>
  </si>
  <si>
    <t>customC: {min: 0.1, max: 5, default: 1, step: 0.1},</t>
  </si>
  <si>
    <t>customD: {min: 0.1, max: 5, default: 1, step: 0.1},</t>
  </si>
  <si>
    <t>customE: {min: 1, max: 10, default: 1, step: 1}</t>
  </si>
  <si>
    <t>"</t>
  </si>
  <si>
    <t>● Cellular Automata Key Parameters Guide</t>
  </si>
  <si>
    <t xml:space="preserve">  1. DECAY SYSTEM</t>
  </si>
  <si>
    <t xml:space="preserve">  float decayRate = 0.95 + 0.04 * randomFactor() + spatialVariation;</t>
  </si>
  <si>
    <t xml:space="preserve">  Primary Controls:</t>
  </si>
  <si>
    <t xml:space="preserve">  - 0.95 (Base decay) - Most Important</t>
  </si>
  <si>
    <t xml:space="preserve">    - Higher = patterns persist longer, more buildup       </t>
  </si>
  <si>
    <t xml:space="preserve">    - Lower = faster fade, more dynamic</t>
  </si>
  <si>
    <t xml:space="preserve">    - Range: 0.92-0.98</t>
  </si>
  <si>
    <t xml:space="preserve">  - 0.04 (Decay randomization)</t>
  </si>
  <si>
    <t xml:space="preserve">    - Higher = more chaotic decay, breaks synchronization</t>
  </si>
  <si>
    <t xml:space="preserve">    - Lower = more uniform, predictable patterns</t>
  </si>
  <si>
    <t xml:space="preserve">    - Range: 0.01-0.08</t>
  </si>
  <si>
    <t xml:space="preserve">  Spatial Variation:</t>
  </si>
  <si>
    <t xml:space="preserve">  - 0.002f (Magnitude) - strength of spatial decay variation</t>
  </si>
  <si>
    <t xml:space="preserve">  - 0.15f, 0.12f (Spatial frequency) - size of decay zones</t>
  </si>
  <si>
    <t xml:space="preserve">  - 0.3f, 0.2f (Time drift) - how fast zones move</t>
  </si>
  <si>
    <t xml:space="preserve">  2. IGNITION THRESHOLD</t>
  </si>
  <si>
    <t xml:space="preserve">  float threshold = 0.16 + 0.05 * randomFactor() + spatialBias + timeVariation;</t>
  </si>
  <si>
    <t xml:space="preserve">  - 0.16 (Base threshold) - Very Important</t>
  </si>
  <si>
    <t xml:space="preserve">    - Lower = easier ignition, more blooms, faster activity</t>
  </si>
  <si>
    <t xml:space="preserve">    - Higher = harder ignition, fewer blooms, slower activity</t>
  </si>
  <si>
    <t xml:space="preserve">    - Range: 0.12-0.25</t>
  </si>
  <si>
    <t xml:space="preserve">  - 0.05 (Threshold randomization)</t>
  </si>
  <si>
    <t xml:space="preserve">    - Higher = more varied ignition timing</t>
  </si>
  <si>
    <t xml:space="preserve">    - Range: 0.02-0.08</t>
  </si>
  <si>
    <t xml:space="preserve">  Spatial/Time Bias:</t>
  </si>
  <si>
    <t xml:space="preserve">  float spatialBias = 0.015f * sinf(x * 0.08f + frameTime.t * 0.4f) * cosf(y * 0.09f);</t>
  </si>
  <si>
    <t xml:space="preserve">  float timeVariation = 0.008f * sinf(frameTime.t * 0.7f + x * 0.02f);</t>
  </si>
  <si>
    <t xml:space="preserve">  - 0.015f, 0.008f (Magnitudes) - strength of spatial/time variation</t>
  </si>
  <si>
    <t xml:space="preserve">  - 0.08f, 0.09f (Spatial freq) - size of ignition preference zones</t>
  </si>
  <si>
    <t xml:space="preserve">  - 0.4f, 0.7f (Time freq) - speed of zone movement/pulsing</t>
  </si>
  <si>
    <t xml:space="preserve">  3. NEIGHBOR INFLUENCE </t>
  </si>
  <si>
    <t xml:space="preserve">  float neighborThreshold = 0.48 + 0.06 * randomFactor() + 0.01f * sinf((nX + nY) * 0.3f);</t>
  </si>
  <si>
    <t xml:space="preserve">  - 0.48 (Base neighbor threshold) - Important</t>
  </si>
  <si>
    <t xml:space="preserve">    - Lower = easier neighbor ignition, more spreading     </t>
  </si>
  <si>
    <t xml:space="preserve">    - Higher = harder neighbor ignition, more isolated blooms</t>
  </si>
  <si>
    <t xml:space="preserve">    - Range: 0.4-0.6</t>
  </si>
  <si>
    <t xml:space="preserve">  - 0.06 (Neighbor randomization)</t>
  </si>
  <si>
    <t xml:space="preserve">    - Higher = more varied spreading patterns</t>
  </si>
  <si>
    <t xml:space="preserve">    - Range: 0.02-0.10</t>
  </si>
  <si>
    <t xml:space="preserve">  Influence Strength:</t>
  </si>
  <si>
    <t xml:space="preserve">  float influence = 0.7 + 0.35 * randomFactor();</t>
  </si>
  <si>
    <t xml:space="preserve">  - 0.7 (Base influence) - strength of neighbor effect     </t>
  </si>
  <si>
    <t xml:space="preserve">  - 0.35 (Influence randomization) - variation in spreading strength</t>
  </si>
  <si>
    <t xml:space="preserve">  4. ENTROPY INJECTION</t>
  </si>
  <si>
    <t xml:space="preserve">  if (entropyCounter % 180 == 0) {</t>
  </si>
  <si>
    <t xml:space="preserve">  Controls:</t>
  </si>
  <si>
    <t xml:space="preserve">  - 180 (Injection frequency) - frames between chaos injections</t>
  </si>
  <si>
    <t xml:space="preserve">    - Lower = more frequent disruption, more chaotic       </t>
  </si>
  <si>
    <t xml:space="preserve">    - Higher = less frequent disruption, more stable patterns</t>
  </si>
  <si>
    <t xml:space="preserve">    - Range: 60-300</t>
  </si>
  <si>
    <t xml:space="preserve">  - Perturbation strength:  float perturbation = 0.05f + 0.15f * randomFactor();     </t>
  </si>
  <si>
    <t xml:space="preserve">  - 0.05f, 0.15f - magnitude of chaos injection</t>
  </si>
  <si>
    <t xml:space="preserve">  5. VISUAL RENDERING (drawMatrix function)</t>
  </si>
  <si>
    <t xml:space="preserve">  fastPowDynamic(val, 4.0f) * std::cos(val)  // Red channel    </t>
  </si>
  <si>
    <t xml:space="preserve">  fastPowDynamic(val, 3.0f) * std::sin(val)  // Green channel      </t>
  </si>
  <si>
    <t xml:space="preserve">  fastPowDynamic(val, 2.0f)                  // Blue channel       </t>
  </si>
  <si>
    <t xml:space="preserve">  Power exponents (4.0f, 3.0f, 2.0f):</t>
  </si>
  <si>
    <t xml:space="preserve">  - Higher = more contrast, sharper edges</t>
  </si>
  <si>
    <t xml:space="preserve">  - Lower = softer, more gradual transitions</t>
  </si>
  <si>
    <t>● Quick Tuning Recipes:</t>
  </si>
  <si>
    <t xml:space="preserve">  For less pulsing, steadier flow:</t>
  </si>
  <si>
    <t xml:space="preserve">  - Increase base decay: 0.95 → 0.96-0.97</t>
  </si>
  <si>
    <t xml:space="preserve">  - Decrease base threshold: 0.16 → 0.14-0.15</t>
  </si>
  <si>
    <t xml:space="preserve">  - Increase decay randomization: 0.04 → 0.06</t>
  </si>
  <si>
    <t xml:space="preserve">  For more dramatic blooms:</t>
  </si>
  <si>
    <t xml:space="preserve">  - Decrease base decay: 0.95 → 0.93-0.94</t>
  </si>
  <si>
    <t xml:space="preserve">  - Increase base threshold: 0.16 → 0.18-0.20</t>
  </si>
  <si>
    <t xml:space="preserve">  - Lower neighbor threshold: 0.48 → 0.45</t>
  </si>
  <si>
    <t xml:space="preserve">  For more chaotic/less predictable:</t>
  </si>
  <si>
    <t xml:space="preserve">  - Increase all randomization values by ~50%</t>
  </si>
  <si>
    <t xml:space="preserve">  - Decrease entropy injection frequency: 180 → 120        </t>
  </si>
  <si>
    <t xml:space="preserve">  - Increase spatial variation magnitudes</t>
  </si>
  <si>
    <t xml:space="preserve">  For calmer, more organic:</t>
  </si>
  <si>
    <t xml:space="preserve">  - Reduce randomization values by ~30%</t>
  </si>
  <si>
    <t xml:space="preserve">  - Increase entropy injection frequency: 180 → 240        </t>
  </si>
  <si>
    <t xml:space="preserve">  - Reduce spatial variation magnitudes</t>
  </si>
  <si>
    <t>● The most impactful parameters to experiment with first are:</t>
  </si>
  <si>
    <t xml:space="preserve">  1. Base decay rate (0.95) - controls overall activity level</t>
  </si>
  <si>
    <t xml:space="preserve">  2. Base ignition threshold (0.16) - controls bloom frequency</t>
  </si>
  <si>
    <t xml:space="preserve">  3. Base neighbor threshold (0.48) - controls spreading behavior</t>
  </si>
  <si>
    <t xml:space="preserve">  Start by adjusting these three by small amounts (±0.01-0.02) to see </t>
  </si>
  <si>
    <t xml:space="preserve">  how they affect the flow and pulsing patterns!</t>
  </si>
  <si>
    <t>timeDrift</t>
  </si>
  <si>
    <t xml:space="preserve">  float spatialVariation = 0.002f * sinf(x * 0.15f +   frameTime.t * 0.3f) * cosf(y * 0.12f + frameTime.t * 0.2f);      </t>
  </si>
  <si>
    <t>spatialDecay</t>
  </si>
  <si>
    <t>decayZones</t>
  </si>
  <si>
    <t>Default</t>
  </si>
  <si>
    <t>Min</t>
  </si>
  <si>
    <t>Max</t>
  </si>
  <si>
    <t>Step</t>
  </si>
  <si>
    <t>Type</t>
  </si>
  <si>
    <t>ignitionBase</t>
  </si>
  <si>
    <t>ignitionChaos</t>
  </si>
  <si>
    <t>pulse</t>
  </si>
  <si>
    <t>neighborBase</t>
  </si>
  <si>
    <t>neighborChaos</t>
  </si>
  <si>
    <t>influenceBase</t>
  </si>
  <si>
    <t>influenceChaos</t>
  </si>
  <si>
    <t>entropyRate</t>
  </si>
  <si>
    <t>entropyBase</t>
  </si>
  <si>
    <t>entropyChaos</t>
  </si>
  <si>
    <t>edge</t>
  </si>
  <si>
    <t>double</t>
  </si>
  <si>
    <t>Parameter</t>
  </si>
  <si>
    <t xml:space="preserve">    X(float, CustomA, 1.0f) \</t>
  </si>
  <si>
    <t xml:space="preserve">   uint8_t pBright;</t>
  </si>
  <si>
    <t xml:space="preserve">   uint8_t pColOrd;</t>
  </si>
  <si>
    <t xml:space="preserve">   float pSpeed;</t>
  </si>
  <si>
    <t xml:space="preserve">   float pZoom;</t>
  </si>
  <si>
    <t xml:space="preserve">   float pScale;</t>
  </si>
  <si>
    <t xml:space="preserve">   float pAngle;</t>
  </si>
  <si>
    <t xml:space="preserve">   float pTwist;</t>
  </si>
  <si>
    <t xml:space="preserve">   float pRadius;</t>
  </si>
  <si>
    <t xml:space="preserve">   float pEdge;</t>
  </si>
  <si>
    <t xml:space="preserve">   float pZ;</t>
  </si>
  <si>
    <t xml:space="preserve">   float pRatBase;</t>
  </si>
  <si>
    <t xml:space="preserve">   float pRatDiff;</t>
  </si>
  <si>
    <t xml:space="preserve">   float pOffBase;</t>
  </si>
  <si>
    <t xml:space="preserve">   float pOffDiff;</t>
  </si>
  <si>
    <t xml:space="preserve">   float pRed;</t>
  </si>
  <si>
    <t xml:space="preserve">   float pGreen;</t>
  </si>
  <si>
    <t xml:space="preserve">   float pBlue; </t>
  </si>
  <si>
    <t>X(float, CustomA, 1.0f) \</t>
  </si>
  <si>
    <t xml:space="preserve">   X(bool, AngleFreezeX, false) \</t>
  </si>
  <si>
    <t xml:space="preserve">   X(bool, AngleFreezeY, false) \</t>
  </si>
  <si>
    <t xml:space="preserve">   X(bool, AngleFreezeZ, false) \</t>
  </si>
  <si>
    <t xml:space="preserve">   X(bool, RotateLinearX, false) \</t>
  </si>
  <si>
    <t xml:space="preserve">   X(bool, RotateLinearY, false) \</t>
  </si>
  <si>
    <t xml:space="preserve">   X(bool, RotateLinearZ, false) \</t>
  </si>
  <si>
    <t xml:space="preserve">   X(bool, RotateRadialX, false) \</t>
  </si>
  <si>
    <t xml:space="preserve">   X(bool, RotateRadialY, false) \</t>
  </si>
  <si>
    <t xml:space="preserve">   X(bool, RotateRadialZ, false)</t>
  </si>
  <si>
    <t>if (receivedID == "cx11") {mappingOverride = receivedValue;};</t>
  </si>
  <si>
    <t>if (receivedID == "cx</t>
  </si>
  <si>
    <t>") {</t>
  </si>
  <si>
    <t xml:space="preserve"> = receivedValue;};</t>
  </si>
  <si>
    <t xml:space="preserve">                &lt;control-checkbox </t>
  </si>
  <si>
    <t xml:space="preserve">                    label="Enable Audio" </t>
  </si>
  <si>
    <t xml:space="preserve">                    data-my-number="12"</t>
  </si>
  <si>
    <t xml:space="preserve">                    checked&gt;</t>
  </si>
  <si>
    <t xml:space="preserve">                &lt;/control-checkbox&gt;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</si>
</sst>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1" fillId="2" borderId="0" xfId="0" applyFont="1" applyFill="1"/>
    <xf numFmtId="43" fontId="0" fillId="0" borderId="0" xfId="1" applyFont="1"/>
    <xf numFmtId="164" fontId="0" fillId="0" borderId="0" xfId="1" applyNumberFormat="1" applyFont="1"/>
    <xf numFmtId="2" fontId="0" fillId="0" borderId="0" xfId="1" applyNumberFormat="1" applyFont="1"/>
    <xf numFmtId="0" fontId="0" fillId="0" borderId="0" xfId="0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3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B58F-4018-42FC-9963-EBE73344DAF2}">
  <dimension ref="B1:Y44"/>
  <sheetViews>
    <sheetView zoomScale="115" zoomScaleNormal="115" workbookViewId="0">
      <selection activeCell="H1" sqref="H1"/>
    </sheetView>
  </sheetViews>
  <sheetFormatPr defaultRowHeight="14.25" x14ac:dyDescent="0.45"/>
  <cols>
    <col min="2" max="5" width="11.796875" customWidth="1"/>
    <col min="6" max="6" width="17" customWidth="1"/>
    <col min="8" max="25" width="37.9296875" customWidth="1"/>
  </cols>
  <sheetData>
    <row r="1" spans="2:20" x14ac:dyDescent="0.45">
      <c r="H1" t="s">
        <v>256</v>
      </c>
    </row>
    <row r="2" spans="2:20" x14ac:dyDescent="0.45">
      <c r="B2" s="1" t="s">
        <v>71</v>
      </c>
      <c r="D2" t="str">
        <f>".p"&amp;B2&amp;" = "</f>
        <v xml:space="preserve">.pPresetID = </v>
      </c>
    </row>
    <row r="3" spans="2:20" x14ac:dyDescent="0.45">
      <c r="B3" s="1" t="s">
        <v>72</v>
      </c>
      <c r="D3" t="str">
        <f t="shared" ref="D3:D21" si="0">".p"&amp;B3&amp;" = "</f>
        <v xml:space="preserve">.pPresetName = </v>
      </c>
    </row>
    <row r="4" spans="2:20" x14ac:dyDescent="0.45">
      <c r="B4" s="1" t="s">
        <v>52</v>
      </c>
      <c r="D4" t="str">
        <f t="shared" si="0"/>
        <v xml:space="preserve">.pFxIndex = </v>
      </c>
      <c r="K4" t="s">
        <v>0</v>
      </c>
      <c r="S4" t="s">
        <v>17</v>
      </c>
      <c r="T4" t="s">
        <v>34</v>
      </c>
    </row>
    <row r="5" spans="2:20" x14ac:dyDescent="0.45">
      <c r="B5" s="1" t="s">
        <v>53</v>
      </c>
      <c r="D5" t="str">
        <f t="shared" si="0"/>
        <v xml:space="preserve">.pBright = </v>
      </c>
      <c r="K5" t="s">
        <v>1</v>
      </c>
      <c r="S5" t="s">
        <v>18</v>
      </c>
      <c r="T5" t="s">
        <v>35</v>
      </c>
    </row>
    <row r="6" spans="2:20" x14ac:dyDescent="0.45">
      <c r="B6" s="1" t="s">
        <v>54</v>
      </c>
      <c r="D6" t="str">
        <f t="shared" si="0"/>
        <v xml:space="preserve">.pColOrd = </v>
      </c>
      <c r="K6" t="s">
        <v>2</v>
      </c>
      <c r="S6" t="s">
        <v>19</v>
      </c>
      <c r="T6" t="s">
        <v>36</v>
      </c>
    </row>
    <row r="7" spans="2:20" x14ac:dyDescent="0.45">
      <c r="B7" s="1" t="s">
        <v>55</v>
      </c>
      <c r="D7" t="str">
        <f t="shared" si="0"/>
        <v xml:space="preserve">.pSpeed = </v>
      </c>
      <c r="K7" t="s">
        <v>3</v>
      </c>
      <c r="S7" t="s">
        <v>20</v>
      </c>
      <c r="T7" t="s">
        <v>37</v>
      </c>
    </row>
    <row r="8" spans="2:20" x14ac:dyDescent="0.45">
      <c r="B8" s="1" t="s">
        <v>56</v>
      </c>
      <c r="D8" t="str">
        <f t="shared" si="0"/>
        <v xml:space="preserve">.pZoom = </v>
      </c>
      <c r="K8" t="s">
        <v>4</v>
      </c>
      <c r="S8" t="s">
        <v>21</v>
      </c>
      <c r="T8" t="s">
        <v>38</v>
      </c>
    </row>
    <row r="9" spans="2:20" x14ac:dyDescent="0.45">
      <c r="B9" s="1" t="s">
        <v>57</v>
      </c>
      <c r="D9" t="str">
        <f t="shared" si="0"/>
        <v xml:space="preserve">.pScale = </v>
      </c>
      <c r="K9" t="s">
        <v>5</v>
      </c>
      <c r="S9" t="s">
        <v>22</v>
      </c>
      <c r="T9" t="s">
        <v>39</v>
      </c>
    </row>
    <row r="10" spans="2:20" x14ac:dyDescent="0.45">
      <c r="B10" s="1" t="s">
        <v>58</v>
      </c>
      <c r="D10" t="str">
        <f t="shared" si="0"/>
        <v xml:space="preserve">.pAngle = </v>
      </c>
      <c r="K10" t="s">
        <v>6</v>
      </c>
      <c r="S10" t="s">
        <v>23</v>
      </c>
      <c r="T10" t="s">
        <v>40</v>
      </c>
    </row>
    <row r="11" spans="2:20" x14ac:dyDescent="0.45">
      <c r="B11" s="1" t="s">
        <v>93</v>
      </c>
      <c r="D11" t="str">
        <f t="shared" si="0"/>
        <v xml:space="preserve">.pTwist = </v>
      </c>
    </row>
    <row r="12" spans="2:20" x14ac:dyDescent="0.45">
      <c r="B12" s="1" t="s">
        <v>59</v>
      </c>
      <c r="D12" t="str">
        <f t="shared" si="0"/>
        <v xml:space="preserve">.pRadius = </v>
      </c>
      <c r="K12" t="s">
        <v>7</v>
      </c>
      <c r="S12" t="s">
        <v>24</v>
      </c>
      <c r="T12" t="s">
        <v>41</v>
      </c>
    </row>
    <row r="13" spans="2:20" x14ac:dyDescent="0.45">
      <c r="B13" s="1" t="s">
        <v>60</v>
      </c>
      <c r="D13" t="str">
        <f t="shared" si="0"/>
        <v xml:space="preserve">.pEdge = </v>
      </c>
      <c r="K13" t="s">
        <v>8</v>
      </c>
      <c r="S13" t="s">
        <v>25</v>
      </c>
      <c r="T13" t="s">
        <v>42</v>
      </c>
    </row>
    <row r="14" spans="2:20" x14ac:dyDescent="0.45">
      <c r="B14" s="1" t="s">
        <v>61</v>
      </c>
      <c r="D14" t="str">
        <f t="shared" si="0"/>
        <v xml:space="preserve">.pZ = </v>
      </c>
      <c r="K14" t="s">
        <v>9</v>
      </c>
      <c r="S14" t="s">
        <v>26</v>
      </c>
      <c r="T14" t="s">
        <v>43</v>
      </c>
    </row>
    <row r="15" spans="2:20" x14ac:dyDescent="0.45">
      <c r="B15" s="1" t="s">
        <v>62</v>
      </c>
      <c r="D15" t="str">
        <f t="shared" si="0"/>
        <v xml:space="preserve">.pRatBase = </v>
      </c>
      <c r="K15" t="s">
        <v>10</v>
      </c>
      <c r="S15" t="s">
        <v>27</v>
      </c>
      <c r="T15" t="s">
        <v>44</v>
      </c>
    </row>
    <row r="16" spans="2:20" x14ac:dyDescent="0.45">
      <c r="B16" s="1" t="s">
        <v>63</v>
      </c>
      <c r="D16" t="str">
        <f t="shared" si="0"/>
        <v xml:space="preserve">.pRatDiff = </v>
      </c>
      <c r="K16" t="s">
        <v>11</v>
      </c>
      <c r="S16" t="s">
        <v>28</v>
      </c>
      <c r="T16" t="s">
        <v>45</v>
      </c>
    </row>
    <row r="17" spans="2:25" x14ac:dyDescent="0.45">
      <c r="B17" s="1" t="s">
        <v>64</v>
      </c>
      <c r="D17" t="str">
        <f t="shared" si="0"/>
        <v xml:space="preserve">.pOffBase = </v>
      </c>
      <c r="K17" t="s">
        <v>12</v>
      </c>
      <c r="S17" t="s">
        <v>29</v>
      </c>
      <c r="T17" t="s">
        <v>46</v>
      </c>
    </row>
    <row r="18" spans="2:25" x14ac:dyDescent="0.45">
      <c r="B18" s="1" t="s">
        <v>65</v>
      </c>
      <c r="D18" t="str">
        <f t="shared" si="0"/>
        <v xml:space="preserve">.pOffDiff = </v>
      </c>
      <c r="K18" t="s">
        <v>13</v>
      </c>
      <c r="S18" t="s">
        <v>30</v>
      </c>
      <c r="T18" t="s">
        <v>47</v>
      </c>
    </row>
    <row r="19" spans="2:25" x14ac:dyDescent="0.45">
      <c r="B19" s="1" t="s">
        <v>66</v>
      </c>
      <c r="D19" t="str">
        <f t="shared" si="0"/>
        <v xml:space="preserve">.pRed = </v>
      </c>
      <c r="K19" t="s">
        <v>14</v>
      </c>
      <c r="S19" t="s">
        <v>31</v>
      </c>
      <c r="T19" t="s">
        <v>48</v>
      </c>
    </row>
    <row r="20" spans="2:25" x14ac:dyDescent="0.45">
      <c r="B20" s="1" t="s">
        <v>67</v>
      </c>
      <c r="D20" t="str">
        <f t="shared" si="0"/>
        <v xml:space="preserve">.pGreen = </v>
      </c>
      <c r="K20" t="s">
        <v>15</v>
      </c>
      <c r="S20" t="s">
        <v>32</v>
      </c>
      <c r="T20" t="s">
        <v>49</v>
      </c>
    </row>
    <row r="21" spans="2:25" x14ac:dyDescent="0.45">
      <c r="B21" s="1" t="s">
        <v>68</v>
      </c>
      <c r="D21" t="str">
        <f t="shared" si="0"/>
        <v xml:space="preserve">.pBlue = </v>
      </c>
      <c r="K21" t="s">
        <v>16</v>
      </c>
      <c r="S21" t="s">
        <v>33</v>
      </c>
      <c r="T21" t="s">
        <v>50</v>
      </c>
    </row>
    <row r="27" spans="2:25" x14ac:dyDescent="0.45">
      <c r="I27" t="s">
        <v>52</v>
      </c>
      <c r="J27" t="s">
        <v>53</v>
      </c>
      <c r="K27" t="s">
        <v>54</v>
      </c>
      <c r="L27" t="s">
        <v>55</v>
      </c>
      <c r="M27" t="s">
        <v>56</v>
      </c>
      <c r="N27" t="s">
        <v>57</v>
      </c>
      <c r="O27" t="s">
        <v>58</v>
      </c>
      <c r="P27" s="7" t="s">
        <v>59</v>
      </c>
      <c r="Q27" t="s">
        <v>60</v>
      </c>
      <c r="R27" t="s">
        <v>61</v>
      </c>
      <c r="S27" t="s">
        <v>62</v>
      </c>
      <c r="T27" t="s">
        <v>63</v>
      </c>
      <c r="U27" t="s">
        <v>64</v>
      </c>
      <c r="V27" t="s">
        <v>65</v>
      </c>
      <c r="W27" t="s">
        <v>66</v>
      </c>
      <c r="X27" t="s">
        <v>67</v>
      </c>
      <c r="Y27" t="s">
        <v>68</v>
      </c>
    </row>
    <row r="28" spans="2:25" x14ac:dyDescent="0.45">
      <c r="P28" s="7"/>
    </row>
    <row r="29" spans="2:25" x14ac:dyDescent="0.45">
      <c r="H29" t="s">
        <v>69</v>
      </c>
      <c r="I29" t="str">
        <f>SUBSTITUTE($H29,"Angle",I$27)</f>
        <v>if (cFxIndex != preset.pFxIndex){</v>
      </c>
      <c r="J29" t="str">
        <f>SUBSTITUTE($H29,"Angle",J$27)</f>
        <v>if (cBright != preset.pBright){</v>
      </c>
      <c r="K29" t="str">
        <f t="shared" ref="K29:Y32" si="1">SUBSTITUTE($H29,"Angle",K$27)</f>
        <v>if (cColOrd != preset.pColOrd){</v>
      </c>
      <c r="L29" t="str">
        <f t="shared" si="1"/>
        <v>if (cSpeed != preset.pSpeed){</v>
      </c>
      <c r="M29" t="str">
        <f t="shared" si="1"/>
        <v>if (cZoom != preset.pZoom){</v>
      </c>
      <c r="N29" t="str">
        <f t="shared" si="1"/>
        <v>if (cScale != preset.pScale){</v>
      </c>
      <c r="O29" t="str">
        <f t="shared" si="1"/>
        <v>if (cAngle != preset.pAngle){</v>
      </c>
      <c r="P29" s="7" t="str">
        <f t="shared" si="1"/>
        <v>if (cRadius != preset.pRadius){</v>
      </c>
      <c r="Q29" t="str">
        <f t="shared" si="1"/>
        <v>if (cEdge != preset.pEdge){</v>
      </c>
      <c r="R29" t="str">
        <f t="shared" si="1"/>
        <v>if (cZ != preset.pZ){</v>
      </c>
      <c r="S29" t="str">
        <f t="shared" si="1"/>
        <v>if (cRatBase != preset.pRatBase){</v>
      </c>
      <c r="T29" t="str">
        <f t="shared" si="1"/>
        <v>if (cRatDiff != preset.pRatDiff){</v>
      </c>
      <c r="U29" t="str">
        <f t="shared" si="1"/>
        <v>if (cOffBase != preset.pOffBase){</v>
      </c>
      <c r="V29" t="str">
        <f t="shared" si="1"/>
        <v>if (cOffDiff != preset.pOffDiff){</v>
      </c>
      <c r="W29" t="str">
        <f t="shared" si="1"/>
        <v>if (cRed != preset.pRed){</v>
      </c>
      <c r="X29" t="str">
        <f t="shared" si="1"/>
        <v>if (cGreen != preset.pGreen){</v>
      </c>
      <c r="Y29" t="str">
        <f t="shared" si="1"/>
        <v>if (cBlue != preset.pBlue){</v>
      </c>
    </row>
    <row r="30" spans="2:25" x14ac:dyDescent="0.45">
      <c r="H30" t="s">
        <v>6</v>
      </c>
      <c r="I30" t="str">
        <f t="shared" ref="I30:X32" si="2">SUBSTITUTE($H30,"Angle",I$27)</f>
        <v>cFxIndex = preset.pFxIndex;</v>
      </c>
      <c r="J30" t="str">
        <f t="shared" si="2"/>
        <v>cBright = preset.pBright;</v>
      </c>
      <c r="K30" t="str">
        <f t="shared" si="2"/>
        <v>cColOrd = preset.pColOrd;</v>
      </c>
      <c r="L30" t="str">
        <f t="shared" si="2"/>
        <v>cSpeed = preset.pSpeed;</v>
      </c>
      <c r="M30" t="str">
        <f t="shared" si="2"/>
        <v>cZoom = preset.pZoom;</v>
      </c>
      <c r="N30" t="str">
        <f t="shared" si="2"/>
        <v>cScale = preset.pScale;</v>
      </c>
      <c r="O30" t="str">
        <f t="shared" si="2"/>
        <v>cAngle = preset.pAngle;</v>
      </c>
      <c r="P30" s="7" t="str">
        <f t="shared" si="2"/>
        <v>cRadius = preset.pRadius;</v>
      </c>
      <c r="Q30" t="str">
        <f t="shared" si="2"/>
        <v>cEdge = preset.pEdge;</v>
      </c>
      <c r="R30" t="str">
        <f t="shared" si="2"/>
        <v>cZ = preset.pZ;</v>
      </c>
      <c r="S30" t="str">
        <f t="shared" si="2"/>
        <v>cRatBase = preset.pRatBase;</v>
      </c>
      <c r="T30" t="str">
        <f t="shared" si="2"/>
        <v>cRatDiff = preset.pRatDiff;</v>
      </c>
      <c r="U30" t="str">
        <f t="shared" si="2"/>
        <v>cOffBase = preset.pOffBase;</v>
      </c>
      <c r="V30" t="str">
        <f t="shared" si="2"/>
        <v>cOffDiff = preset.pOffDiff;</v>
      </c>
      <c r="W30" t="str">
        <f t="shared" si="2"/>
        <v>cRed = preset.pRed;</v>
      </c>
      <c r="X30" t="str">
        <f t="shared" si="2"/>
        <v>cGreen = preset.pGreen;</v>
      </c>
      <c r="Y30" t="str">
        <f t="shared" si="1"/>
        <v>cBlue = preset.pBlue;</v>
      </c>
    </row>
    <row r="31" spans="2:25" x14ac:dyDescent="0.45">
      <c r="H31" t="s">
        <v>70</v>
      </c>
      <c r="I31" t="str">
        <f t="shared" si="2"/>
        <v>sendReceiptNumber("inFxIndex",cFxIndex);</v>
      </c>
      <c r="J31" t="str">
        <f t="shared" si="2"/>
        <v>sendReceiptNumber("inBright",cBright);</v>
      </c>
      <c r="K31" t="str">
        <f t="shared" si="1"/>
        <v>sendReceiptNumber("inColOrd",cColOrd);</v>
      </c>
      <c r="L31" t="str">
        <f t="shared" si="1"/>
        <v>sendReceiptNumber("inSpeed",cSpeed);</v>
      </c>
      <c r="M31" t="str">
        <f t="shared" si="1"/>
        <v>sendReceiptNumber("inZoom",cZoom);</v>
      </c>
      <c r="N31" t="str">
        <f t="shared" si="1"/>
        <v>sendReceiptNumber("inScale",cScale);</v>
      </c>
      <c r="O31" t="str">
        <f t="shared" si="1"/>
        <v>sendReceiptNumber("inAngle",cAngle);</v>
      </c>
      <c r="P31" s="7" t="str">
        <f t="shared" si="1"/>
        <v>sendReceiptNumber("inRadius",cRadius);</v>
      </c>
      <c r="Q31" t="str">
        <f t="shared" si="1"/>
        <v>sendReceiptNumber("inEdge",cEdge);</v>
      </c>
      <c r="R31" t="str">
        <f t="shared" si="1"/>
        <v>sendReceiptNumber("inZ",cZ);</v>
      </c>
      <c r="S31" t="str">
        <f t="shared" si="1"/>
        <v>sendReceiptNumber("inRatBase",cRatBase);</v>
      </c>
      <c r="T31" t="str">
        <f t="shared" si="1"/>
        <v>sendReceiptNumber("inRatDiff",cRatDiff);</v>
      </c>
      <c r="U31" t="str">
        <f t="shared" si="1"/>
        <v>sendReceiptNumber("inOffBase",cOffBase);</v>
      </c>
      <c r="V31" t="str">
        <f t="shared" si="1"/>
        <v>sendReceiptNumber("inOffDiff",cOffDiff);</v>
      </c>
      <c r="W31" t="str">
        <f t="shared" si="1"/>
        <v>sendReceiptNumber("inRed",cRed);</v>
      </c>
      <c r="X31" t="str">
        <f t="shared" si="1"/>
        <v>sendReceiptNumber("inGreen",cGreen);</v>
      </c>
      <c r="Y31" t="str">
        <f t="shared" si="1"/>
        <v>sendReceiptNumber("inBlue",cBlue);</v>
      </c>
    </row>
    <row r="32" spans="2:25" x14ac:dyDescent="0.45">
      <c r="H32" t="s">
        <v>51</v>
      </c>
      <c r="I32" t="str">
        <f t="shared" si="2"/>
        <v xml:space="preserve">};   </v>
      </c>
      <c r="J32" t="str">
        <f t="shared" si="2"/>
        <v xml:space="preserve">};   </v>
      </c>
      <c r="K32" t="str">
        <f t="shared" si="1"/>
        <v xml:space="preserve">};   </v>
      </c>
      <c r="L32" t="str">
        <f t="shared" si="1"/>
        <v xml:space="preserve">};   </v>
      </c>
      <c r="M32" t="str">
        <f t="shared" si="1"/>
        <v xml:space="preserve">};   </v>
      </c>
      <c r="N32" t="str">
        <f t="shared" si="1"/>
        <v xml:space="preserve">};   </v>
      </c>
      <c r="O32" t="str">
        <f t="shared" si="1"/>
        <v xml:space="preserve">};   </v>
      </c>
      <c r="P32" s="7" t="str">
        <f t="shared" si="1"/>
        <v xml:space="preserve">};   </v>
      </c>
      <c r="Q32" t="str">
        <f t="shared" si="1"/>
        <v xml:space="preserve">};   </v>
      </c>
      <c r="R32" t="str">
        <f t="shared" si="1"/>
        <v xml:space="preserve">};   </v>
      </c>
      <c r="S32" t="str">
        <f t="shared" si="1"/>
        <v xml:space="preserve">};   </v>
      </c>
      <c r="T32" t="str">
        <f t="shared" si="1"/>
        <v xml:space="preserve">};   </v>
      </c>
      <c r="U32" t="str">
        <f t="shared" si="1"/>
        <v xml:space="preserve">};   </v>
      </c>
      <c r="V32" t="str">
        <f t="shared" si="1"/>
        <v xml:space="preserve">};   </v>
      </c>
      <c r="W32" t="str">
        <f t="shared" si="1"/>
        <v xml:space="preserve">};   </v>
      </c>
      <c r="X32" t="str">
        <f t="shared" si="1"/>
        <v xml:space="preserve">};   </v>
      </c>
      <c r="Y32" t="str">
        <f t="shared" si="1"/>
        <v xml:space="preserve">};   </v>
      </c>
    </row>
    <row r="33" spans="2:16" x14ac:dyDescent="0.45">
      <c r="C33" t="s">
        <v>90</v>
      </c>
      <c r="D33" t="s">
        <v>91</v>
      </c>
      <c r="E33" t="s">
        <v>92</v>
      </c>
      <c r="P33" s="7"/>
    </row>
    <row r="34" spans="2:16" x14ac:dyDescent="0.45">
      <c r="O34" s="1" t="s">
        <v>94</v>
      </c>
      <c r="P34" s="7"/>
    </row>
    <row r="35" spans="2:16" x14ac:dyDescent="0.45">
      <c r="B35">
        <v>0</v>
      </c>
      <c r="C35" t="str">
        <f>$C$33&amp;B8&amp;" = true;"</f>
        <v>bool usedZoom = true;</v>
      </c>
    </row>
    <row r="36" spans="2:16" x14ac:dyDescent="0.45">
      <c r="B36">
        <f>B35+1</f>
        <v>1</v>
      </c>
      <c r="C36" t="str">
        <f>$C$33&amp;B9&amp;" = true;"</f>
        <v>bool usedScale = true;</v>
      </c>
    </row>
    <row r="37" spans="2:16" x14ac:dyDescent="0.45">
      <c r="B37">
        <f t="shared" ref="B37:B44" si="3">B36+1</f>
        <v>2</v>
      </c>
      <c r="C37" t="str">
        <f>$C$33&amp;B10&amp;" = true;"</f>
        <v>bool usedAngle = true;</v>
      </c>
    </row>
    <row r="38" spans="2:16" x14ac:dyDescent="0.45">
      <c r="B38">
        <f t="shared" si="3"/>
        <v>3</v>
      </c>
      <c r="C38" t="str">
        <f t="shared" ref="C38:C44" si="4">$C$33&amp;B12&amp;" = true;"</f>
        <v>bool usedRadius = true;</v>
      </c>
    </row>
    <row r="39" spans="2:16" x14ac:dyDescent="0.45">
      <c r="B39">
        <f t="shared" si="3"/>
        <v>4</v>
      </c>
      <c r="C39" t="str">
        <f t="shared" si="4"/>
        <v>bool usedEdge = true;</v>
      </c>
    </row>
    <row r="40" spans="2:16" x14ac:dyDescent="0.45">
      <c r="B40">
        <f t="shared" si="3"/>
        <v>5</v>
      </c>
      <c r="C40" t="str">
        <f t="shared" si="4"/>
        <v>bool usedZ = true;</v>
      </c>
    </row>
    <row r="41" spans="2:16" x14ac:dyDescent="0.45">
      <c r="B41">
        <f t="shared" si="3"/>
        <v>6</v>
      </c>
      <c r="C41" t="str">
        <f t="shared" si="4"/>
        <v>bool usedRatBase = true;</v>
      </c>
    </row>
    <row r="42" spans="2:16" x14ac:dyDescent="0.45">
      <c r="B42">
        <f t="shared" si="3"/>
        <v>7</v>
      </c>
      <c r="C42" t="str">
        <f t="shared" si="4"/>
        <v>bool usedRatDiff = true;</v>
      </c>
    </row>
    <row r="43" spans="2:16" x14ac:dyDescent="0.45">
      <c r="B43">
        <f t="shared" si="3"/>
        <v>8</v>
      </c>
      <c r="C43" t="str">
        <f t="shared" si="4"/>
        <v>bool usedOffBase = true;</v>
      </c>
    </row>
    <row r="44" spans="2:16" x14ac:dyDescent="0.45">
      <c r="B44">
        <f t="shared" si="3"/>
        <v>9</v>
      </c>
      <c r="C44" t="str">
        <f t="shared" si="4"/>
        <v>bool usedOffDiff = true;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63B3-4A35-44C9-8B46-BC2F718391DD}">
  <dimension ref="E5:Q437"/>
  <sheetViews>
    <sheetView topLeftCell="A7" workbookViewId="0">
      <selection activeCell="M19" sqref="M19"/>
    </sheetView>
  </sheetViews>
  <sheetFormatPr defaultRowHeight="14.25" x14ac:dyDescent="0.45"/>
  <cols>
    <col min="9" max="9" width="16.1328125" style="8" bestFit="1" customWidth="1"/>
    <col min="10" max="10" width="10.59765625" bestFit="1" customWidth="1"/>
    <col min="16" max="16" width="16.1328125" style="9" bestFit="1" customWidth="1"/>
  </cols>
  <sheetData>
    <row r="5" spans="5:17" x14ac:dyDescent="0.45">
      <c r="E5" t="s">
        <v>125</v>
      </c>
      <c r="F5">
        <v>1000000</v>
      </c>
      <c r="I5" s="9">
        <v>4294967295</v>
      </c>
    </row>
    <row r="7" spans="5:17" x14ac:dyDescent="0.45">
      <c r="P7" s="9">
        <v>5000</v>
      </c>
      <c r="Q7">
        <f>COS(P7)</f>
        <v>0.15466840618074704</v>
      </c>
    </row>
    <row r="8" spans="5:17" x14ac:dyDescent="0.45">
      <c r="P8" s="9">
        <f>P7+5000</f>
        <v>10000</v>
      </c>
      <c r="Q8">
        <f t="shared" ref="Q8:Q71" si="0">COS(P8)</f>
        <v>-0.95215536825901492</v>
      </c>
    </row>
    <row r="9" spans="5:17" x14ac:dyDescent="0.45">
      <c r="P9" s="9">
        <f t="shared" ref="P9:P72" si="1">P8+5000</f>
        <v>15000</v>
      </c>
      <c r="Q9">
        <f t="shared" si="0"/>
        <v>-0.44920511267087526</v>
      </c>
    </row>
    <row r="10" spans="5:17" x14ac:dyDescent="0.45">
      <c r="P10" s="9">
        <f t="shared" si="1"/>
        <v>20000</v>
      </c>
      <c r="Q10">
        <f t="shared" si="0"/>
        <v>0.81319969060892061</v>
      </c>
    </row>
    <row r="11" spans="5:17" x14ac:dyDescent="0.45">
      <c r="P11" s="9">
        <f t="shared" si="1"/>
        <v>25000</v>
      </c>
      <c r="Q11">
        <f t="shared" si="0"/>
        <v>0.7007577127771919</v>
      </c>
    </row>
    <row r="12" spans="5:17" x14ac:dyDescent="0.45">
      <c r="P12" s="9">
        <f t="shared" si="1"/>
        <v>30000</v>
      </c>
      <c r="Q12">
        <f t="shared" si="0"/>
        <v>-0.59642953350069261</v>
      </c>
    </row>
    <row r="13" spans="5:17" x14ac:dyDescent="0.45">
      <c r="P13" s="9">
        <f t="shared" si="1"/>
        <v>35000</v>
      </c>
      <c r="Q13">
        <f t="shared" si="0"/>
        <v>-0.88525532346854907</v>
      </c>
    </row>
    <row r="14" spans="5:17" x14ac:dyDescent="0.45">
      <c r="F14" t="s">
        <v>123</v>
      </c>
      <c r="P14" s="9">
        <f t="shared" si="1"/>
        <v>40000</v>
      </c>
      <c r="Q14">
        <f t="shared" si="0"/>
        <v>0.32258747361288825</v>
      </c>
    </row>
    <row r="15" spans="5:17" x14ac:dyDescent="0.45">
      <c r="F15" t="s">
        <v>124</v>
      </c>
      <c r="P15" s="9">
        <f t="shared" si="1"/>
        <v>45000</v>
      </c>
      <c r="Q15">
        <f t="shared" si="0"/>
        <v>0.98504350426370757</v>
      </c>
    </row>
    <row r="16" spans="5:17" x14ac:dyDescent="0.45">
      <c r="P16" s="9">
        <f t="shared" si="1"/>
        <v>50000</v>
      </c>
      <c r="Q16">
        <f t="shared" si="0"/>
        <v>-1.7877255966557131E-2</v>
      </c>
    </row>
    <row r="17" spans="5:17" x14ac:dyDescent="0.45">
      <c r="P17" s="9">
        <f t="shared" si="1"/>
        <v>55000</v>
      </c>
      <c r="Q17">
        <f t="shared" si="0"/>
        <v>-0.99057359763817288</v>
      </c>
    </row>
    <row r="18" spans="5:17" x14ac:dyDescent="0.45">
      <c r="P18" s="9">
        <f t="shared" si="1"/>
        <v>60000</v>
      </c>
      <c r="Q18">
        <f t="shared" si="0"/>
        <v>-0.2885436231362925</v>
      </c>
    </row>
    <row r="19" spans="5:17" x14ac:dyDescent="0.45">
      <c r="E19">
        <v>27</v>
      </c>
      <c r="F19">
        <f>E19*F5</f>
        <v>27000000</v>
      </c>
      <c r="H19">
        <f>COS(F19)</f>
        <v>-0.97379060037474141</v>
      </c>
      <c r="K19">
        <v>350</v>
      </c>
      <c r="L19">
        <v>48</v>
      </c>
      <c r="M19" s="8">
        <f>K19/L19</f>
        <v>7.291666666666667</v>
      </c>
      <c r="P19" s="9">
        <f t="shared" si="1"/>
        <v>65000</v>
      </c>
      <c r="Q19">
        <f t="shared" si="0"/>
        <v>0.9013164330299559</v>
      </c>
    </row>
    <row r="20" spans="5:17" x14ac:dyDescent="0.45">
      <c r="E20">
        <v>29</v>
      </c>
      <c r="F20">
        <f>E20*F5</f>
        <v>29000000</v>
      </c>
      <c r="H20">
        <f>COS(F20)</f>
        <v>-0.58608089871072211</v>
      </c>
      <c r="K20">
        <v>310</v>
      </c>
      <c r="L20">
        <v>32</v>
      </c>
      <c r="M20" s="8">
        <f>K20/L20</f>
        <v>9.6875</v>
      </c>
      <c r="P20" s="9">
        <f t="shared" si="1"/>
        <v>70000</v>
      </c>
      <c r="Q20">
        <f t="shared" si="0"/>
        <v>0.56735397545881106</v>
      </c>
    </row>
    <row r="21" spans="5:17" x14ac:dyDescent="0.45">
      <c r="P21" s="9">
        <f t="shared" si="1"/>
        <v>75000</v>
      </c>
      <c r="Q21">
        <f t="shared" si="0"/>
        <v>-0.7258129627809059</v>
      </c>
    </row>
    <row r="22" spans="5:17" x14ac:dyDescent="0.45">
      <c r="P22" s="9">
        <f t="shared" si="1"/>
        <v>80000</v>
      </c>
      <c r="Q22">
        <f t="shared" si="0"/>
        <v>-0.79187464373610827</v>
      </c>
    </row>
    <row r="23" spans="5:17" x14ac:dyDescent="0.45">
      <c r="P23" s="9">
        <f t="shared" si="1"/>
        <v>85000</v>
      </c>
      <c r="Q23">
        <f t="shared" si="0"/>
        <v>0.4808569846976844</v>
      </c>
    </row>
    <row r="24" spans="5:17" x14ac:dyDescent="0.45">
      <c r="H24">
        <v>32768</v>
      </c>
      <c r="P24" s="9">
        <f t="shared" si="1"/>
        <v>90000</v>
      </c>
      <c r="Q24">
        <f t="shared" si="0"/>
        <v>0.94062141058424975</v>
      </c>
    </row>
    <row r="25" spans="5:17" x14ac:dyDescent="0.45">
      <c r="P25" s="9">
        <f t="shared" si="1"/>
        <v>95000</v>
      </c>
      <c r="Q25">
        <f t="shared" si="0"/>
        <v>-0.18988815590858046</v>
      </c>
    </row>
    <row r="26" spans="5:17" x14ac:dyDescent="0.45">
      <c r="P26" s="9">
        <f t="shared" si="1"/>
        <v>100000</v>
      </c>
      <c r="Q26">
        <f t="shared" si="0"/>
        <v>-0.99936080743821243</v>
      </c>
    </row>
    <row r="27" spans="5:17" x14ac:dyDescent="0.45">
      <c r="P27" s="9">
        <f t="shared" si="1"/>
        <v>105000</v>
      </c>
      <c r="Q27">
        <f t="shared" si="0"/>
        <v>-0.11925093066336506</v>
      </c>
    </row>
    <row r="28" spans="5:17" x14ac:dyDescent="0.45">
      <c r="P28" s="9">
        <f t="shared" si="1"/>
        <v>110000</v>
      </c>
      <c r="Q28">
        <f t="shared" si="0"/>
        <v>0.96247210467566546</v>
      </c>
    </row>
    <row r="29" spans="5:17" x14ac:dyDescent="0.45">
      <c r="P29" s="9">
        <f t="shared" si="1"/>
        <v>115000</v>
      </c>
      <c r="Q29">
        <f t="shared" si="0"/>
        <v>0.4169789835105937</v>
      </c>
    </row>
    <row r="30" spans="5:17" x14ac:dyDescent="0.45">
      <c r="P30" s="9">
        <f t="shared" si="1"/>
        <v>120000</v>
      </c>
      <c r="Q30">
        <f t="shared" si="0"/>
        <v>-0.8334851550947624</v>
      </c>
    </row>
    <row r="31" spans="5:17" x14ac:dyDescent="0.45">
      <c r="P31" s="9">
        <f t="shared" si="1"/>
        <v>125000</v>
      </c>
      <c r="Q31">
        <f t="shared" si="0"/>
        <v>-0.67480662453823304</v>
      </c>
    </row>
    <row r="32" spans="5:17" x14ac:dyDescent="0.45">
      <c r="P32" s="9">
        <f t="shared" si="1"/>
        <v>130000</v>
      </c>
      <c r="Q32">
        <f t="shared" si="0"/>
        <v>0.62474262489968591</v>
      </c>
    </row>
    <row r="33" spans="6:17" x14ac:dyDescent="0.45">
      <c r="P33" s="9">
        <f t="shared" si="1"/>
        <v>135000</v>
      </c>
      <c r="Q33">
        <f t="shared" si="0"/>
        <v>0.86806251667105438</v>
      </c>
    </row>
    <row r="34" spans="6:17" x14ac:dyDescent="0.45">
      <c r="P34" s="9">
        <f t="shared" si="1"/>
        <v>140000</v>
      </c>
      <c r="Q34">
        <f t="shared" si="0"/>
        <v>-0.35621893306216557</v>
      </c>
    </row>
    <row r="35" spans="6:17" x14ac:dyDescent="0.45">
      <c r="F35" t="s">
        <v>126</v>
      </c>
      <c r="I35" s="8" t="str">
        <f>_xlfn.TEXTAFTER(F35,": ")</f>
        <v>-54831</v>
      </c>
      <c r="J35" s="10">
        <f>_xlfn.NUMBERVALUE(I35)</f>
        <v>-54831</v>
      </c>
      <c r="P35" s="9">
        <f t="shared" si="1"/>
        <v>145000</v>
      </c>
      <c r="Q35">
        <f t="shared" si="0"/>
        <v>-0.97825414592731719</v>
      </c>
    </row>
    <row r="36" spans="6:17" x14ac:dyDescent="0.45">
      <c r="F36" t="s">
        <v>127</v>
      </c>
      <c r="I36" s="8" t="str">
        <f t="shared" ref="I36:I48" si="2">_xlfn.TEXTAFTER(F36,": ")</f>
        <v>215243</v>
      </c>
      <c r="J36" s="10">
        <f t="shared" ref="J36:J48" si="3">_xlfn.NUMBERVALUE(I36)</f>
        <v>215243</v>
      </c>
      <c r="P36" s="9">
        <f t="shared" si="1"/>
        <v>150000</v>
      </c>
      <c r="Q36">
        <f t="shared" si="0"/>
        <v>5.3608913881593404E-2</v>
      </c>
    </row>
    <row r="37" spans="6:17" x14ac:dyDescent="0.45">
      <c r="F37" t="s">
        <v>128</v>
      </c>
      <c r="I37" s="8" t="str">
        <f t="shared" si="2"/>
        <v>96397</v>
      </c>
      <c r="J37" s="10">
        <f t="shared" si="3"/>
        <v>96397</v>
      </c>
      <c r="P37" s="9">
        <f t="shared" si="1"/>
        <v>155000</v>
      </c>
      <c r="Q37">
        <f t="shared" si="0"/>
        <v>0.99483735646161109</v>
      </c>
    </row>
    <row r="38" spans="6:17" x14ac:dyDescent="0.45">
      <c r="F38" t="s">
        <v>129</v>
      </c>
      <c r="I38" s="8" t="str">
        <f t="shared" si="2"/>
        <v>-196994</v>
      </c>
      <c r="J38" s="10">
        <f t="shared" si="3"/>
        <v>-196994</v>
      </c>
      <c r="P38" s="9">
        <f t="shared" si="1"/>
        <v>160000</v>
      </c>
      <c r="Q38">
        <f t="shared" si="0"/>
        <v>0.25413090278437678</v>
      </c>
    </row>
    <row r="39" spans="6:17" x14ac:dyDescent="0.45">
      <c r="F39" t="s">
        <v>130</v>
      </c>
      <c r="I39" s="8" t="str">
        <f t="shared" si="2"/>
        <v>-133546</v>
      </c>
      <c r="J39" s="10">
        <f t="shared" si="3"/>
        <v>-133546</v>
      </c>
      <c r="P39" s="9">
        <f t="shared" si="1"/>
        <v>165000</v>
      </c>
      <c r="Q39">
        <f t="shared" si="0"/>
        <v>-0.91622531307174326</v>
      </c>
    </row>
    <row r="40" spans="6:17" x14ac:dyDescent="0.45">
      <c r="F40" t="s">
        <v>131</v>
      </c>
      <c r="I40" s="8" t="str">
        <f t="shared" si="2"/>
        <v>176729</v>
      </c>
      <c r="J40" s="10">
        <f t="shared" si="3"/>
        <v>176729</v>
      </c>
      <c r="P40" s="9">
        <f t="shared" si="1"/>
        <v>170000</v>
      </c>
      <c r="Q40">
        <f t="shared" si="0"/>
        <v>-0.53755312053490178</v>
      </c>
    </row>
    <row r="41" spans="6:17" x14ac:dyDescent="0.45">
      <c r="F41" t="s">
        <v>132</v>
      </c>
      <c r="I41" s="8" t="str">
        <f t="shared" si="2"/>
        <v>159614</v>
      </c>
      <c r="J41" s="10">
        <f t="shared" si="3"/>
        <v>159614</v>
      </c>
      <c r="P41" s="9">
        <f t="shared" si="1"/>
        <v>175000</v>
      </c>
      <c r="Q41">
        <f t="shared" si="0"/>
        <v>0.74994034429050271</v>
      </c>
    </row>
    <row r="42" spans="6:17" x14ac:dyDescent="0.45">
      <c r="F42" t="s">
        <v>133</v>
      </c>
      <c r="I42" s="8" t="str">
        <f t="shared" si="2"/>
        <v>-146846</v>
      </c>
      <c r="J42" s="10">
        <f t="shared" si="3"/>
        <v>-146846</v>
      </c>
      <c r="P42" s="9">
        <f t="shared" si="1"/>
        <v>180000</v>
      </c>
      <c r="Q42">
        <f t="shared" si="0"/>
        <v>0.76953727609900735</v>
      </c>
    </row>
    <row r="43" spans="6:17" x14ac:dyDescent="0.45">
      <c r="F43" t="s">
        <v>134</v>
      </c>
      <c r="I43" s="8" t="str">
        <f t="shared" si="2"/>
        <v>-187579</v>
      </c>
      <c r="J43" s="10">
        <f t="shared" si="3"/>
        <v>-187579</v>
      </c>
      <c r="P43" s="9">
        <f t="shared" si="1"/>
        <v>185000</v>
      </c>
      <c r="Q43">
        <f t="shared" si="0"/>
        <v>-0.51189413630868885</v>
      </c>
    </row>
    <row r="44" spans="6:17" x14ac:dyDescent="0.45">
      <c r="F44" t="s">
        <v>135</v>
      </c>
      <c r="I44" s="8" t="str">
        <f t="shared" si="2"/>
        <v>111797</v>
      </c>
      <c r="J44" s="10">
        <f t="shared" si="3"/>
        <v>111797</v>
      </c>
      <c r="P44" s="9">
        <f t="shared" si="1"/>
        <v>190000</v>
      </c>
      <c r="Q44">
        <f t="shared" si="0"/>
        <v>-0.92788497649127732</v>
      </c>
    </row>
    <row r="45" spans="6:17" x14ac:dyDescent="0.45">
      <c r="F45" t="s">
        <v>136</v>
      </c>
      <c r="I45" s="8" t="str">
        <f t="shared" si="2"/>
        <v>208747</v>
      </c>
      <c r="J45" s="10">
        <f t="shared" si="3"/>
        <v>208747</v>
      </c>
      <c r="P45" s="9">
        <f t="shared" si="1"/>
        <v>195000</v>
      </c>
      <c r="Q45">
        <f t="shared" si="0"/>
        <v>0.22486515544275723</v>
      </c>
    </row>
    <row r="46" spans="6:17" x14ac:dyDescent="0.45">
      <c r="F46" t="s">
        <v>137</v>
      </c>
      <c r="I46" s="8" t="str">
        <f t="shared" si="2"/>
        <v>-80367</v>
      </c>
      <c r="J46" s="10">
        <f t="shared" si="3"/>
        <v>-80367</v>
      </c>
      <c r="P46" s="9">
        <f t="shared" si="1"/>
        <v>200000</v>
      </c>
      <c r="Q46">
        <f t="shared" si="0"/>
        <v>0.99744404688711163</v>
      </c>
    </row>
    <row r="47" spans="6:17" x14ac:dyDescent="0.45">
      <c r="F47" t="s">
        <v>138</v>
      </c>
      <c r="I47" s="8" t="str">
        <f t="shared" si="2"/>
        <v>-220143</v>
      </c>
      <c r="J47" s="10">
        <f t="shared" si="3"/>
        <v>-220143</v>
      </c>
      <c r="P47" s="9">
        <f t="shared" si="1"/>
        <v>205000</v>
      </c>
      <c r="Q47">
        <f t="shared" si="0"/>
        <v>8.368100653025054E-2</v>
      </c>
    </row>
    <row r="48" spans="6:17" x14ac:dyDescent="0.45">
      <c r="F48" t="s">
        <v>139</v>
      </c>
      <c r="I48" s="8" t="str">
        <f t="shared" si="2"/>
        <v>37730</v>
      </c>
      <c r="J48" s="10">
        <f t="shared" si="3"/>
        <v>37730</v>
      </c>
      <c r="P48" s="9">
        <f t="shared" si="1"/>
        <v>210000</v>
      </c>
      <c r="Q48">
        <f t="shared" si="0"/>
        <v>-0.97155843107184259</v>
      </c>
    </row>
    <row r="49" spans="16:17" x14ac:dyDescent="0.45">
      <c r="P49" s="9">
        <f t="shared" si="1"/>
        <v>215000</v>
      </c>
      <c r="Q49">
        <f t="shared" si="0"/>
        <v>-0.38421979462094868</v>
      </c>
    </row>
    <row r="50" spans="16:17" x14ac:dyDescent="0.45">
      <c r="P50" s="9">
        <f t="shared" si="1"/>
        <v>220000</v>
      </c>
      <c r="Q50">
        <f t="shared" si="0"/>
        <v>0.85270510455761039</v>
      </c>
    </row>
    <row r="51" spans="16:17" x14ac:dyDescent="0.45">
      <c r="P51" s="9">
        <f t="shared" si="1"/>
        <v>225000</v>
      </c>
      <c r="Q51">
        <f t="shared" si="0"/>
        <v>0.64799287354917445</v>
      </c>
    </row>
    <row r="52" spans="16:17" x14ac:dyDescent="0.45">
      <c r="P52" s="9">
        <f t="shared" si="1"/>
        <v>230000</v>
      </c>
      <c r="Q52">
        <f t="shared" si="0"/>
        <v>-0.65225705462094408</v>
      </c>
    </row>
    <row r="53" spans="16:17" x14ac:dyDescent="0.45">
      <c r="P53" s="9">
        <f t="shared" si="1"/>
        <v>235000</v>
      </c>
      <c r="Q53">
        <f t="shared" si="0"/>
        <v>-0.8497599916659142</v>
      </c>
    </row>
    <row r="54" spans="16:17" x14ac:dyDescent="0.45">
      <c r="P54" s="9">
        <f t="shared" si="1"/>
        <v>240000</v>
      </c>
      <c r="Q54">
        <f t="shared" si="0"/>
        <v>0.38939500752668038</v>
      </c>
    </row>
    <row r="55" spans="16:17" x14ac:dyDescent="0.45">
      <c r="P55" s="9">
        <f t="shared" si="1"/>
        <v>245000</v>
      </c>
      <c r="Q55">
        <f t="shared" si="0"/>
        <v>0.97021420204369746</v>
      </c>
    </row>
    <row r="56" spans="16:17" x14ac:dyDescent="0.45">
      <c r="P56" s="9">
        <f t="shared" si="1"/>
        <v>250000</v>
      </c>
      <c r="Q56">
        <f t="shared" si="0"/>
        <v>-8.9272038958632421E-2</v>
      </c>
    </row>
    <row r="57" spans="16:17" x14ac:dyDescent="0.45">
      <c r="P57" s="9">
        <f t="shared" si="1"/>
        <v>255000</v>
      </c>
      <c r="Q57">
        <f t="shared" si="0"/>
        <v>-0.99782933000817198</v>
      </c>
    </row>
    <row r="58" spans="16:17" x14ac:dyDescent="0.45">
      <c r="P58" s="9">
        <f t="shared" si="1"/>
        <v>260000</v>
      </c>
      <c r="Q58">
        <f t="shared" si="0"/>
        <v>-0.21939330526690082</v>
      </c>
    </row>
    <row r="59" spans="16:17" x14ac:dyDescent="0.45">
      <c r="P59" s="9">
        <f t="shared" si="1"/>
        <v>265000</v>
      </c>
      <c r="Q59">
        <f t="shared" si="0"/>
        <v>0.92996290430345663</v>
      </c>
    </row>
    <row r="60" spans="16:17" x14ac:dyDescent="0.45">
      <c r="P60" s="9">
        <f t="shared" si="1"/>
        <v>270000</v>
      </c>
      <c r="Q60">
        <f t="shared" si="0"/>
        <v>0.50706506569856924</v>
      </c>
    </row>
    <row r="61" spans="16:17" x14ac:dyDescent="0.45">
      <c r="P61" s="9">
        <f t="shared" si="1"/>
        <v>275000</v>
      </c>
      <c r="Q61">
        <f t="shared" si="0"/>
        <v>-0.77310901322038972</v>
      </c>
    </row>
    <row r="62" spans="16:17" x14ac:dyDescent="0.45">
      <c r="P62" s="9">
        <f t="shared" si="1"/>
        <v>280000</v>
      </c>
      <c r="Q62">
        <f t="shared" si="0"/>
        <v>-0.74621614345610476</v>
      </c>
    </row>
    <row r="63" spans="16:17" x14ac:dyDescent="0.45">
      <c r="P63" s="9">
        <f t="shared" si="1"/>
        <v>285000</v>
      </c>
      <c r="Q63">
        <f t="shared" si="0"/>
        <v>0.54227689007099078</v>
      </c>
    </row>
    <row r="64" spans="16:17" x14ac:dyDescent="0.45">
      <c r="P64" s="9">
        <f t="shared" si="1"/>
        <v>290000</v>
      </c>
      <c r="Q64">
        <f t="shared" si="0"/>
        <v>0.9139623480479695</v>
      </c>
    </row>
    <row r="65" spans="16:17" x14ac:dyDescent="0.45">
      <c r="P65" s="9">
        <f t="shared" si="1"/>
        <v>295000</v>
      </c>
      <c r="Q65">
        <f t="shared" si="0"/>
        <v>-0.25955469070740556</v>
      </c>
    </row>
    <row r="66" spans="16:17" x14ac:dyDescent="0.45">
      <c r="P66" s="9">
        <f t="shared" si="1"/>
        <v>300000</v>
      </c>
      <c r="Q66">
        <f t="shared" si="0"/>
        <v>-0.99425216870487176</v>
      </c>
    </row>
    <row r="67" spans="16:17" x14ac:dyDescent="0.45">
      <c r="P67" s="9">
        <f t="shared" si="1"/>
        <v>305000</v>
      </c>
      <c r="Q67">
        <f t="shared" si="0"/>
        <v>-4.8004105843261945E-2</v>
      </c>
    </row>
    <row r="68" spans="16:17" x14ac:dyDescent="0.45">
      <c r="P68" s="9">
        <f t="shared" si="1"/>
        <v>310000</v>
      </c>
      <c r="Q68">
        <f t="shared" si="0"/>
        <v>0.97940273162305336</v>
      </c>
    </row>
    <row r="69" spans="16:17" x14ac:dyDescent="0.45">
      <c r="P69" s="9">
        <f t="shared" si="1"/>
        <v>315000</v>
      </c>
      <c r="Q69">
        <f t="shared" si="0"/>
        <v>0.35096942486167715</v>
      </c>
    </row>
    <row r="70" spans="16:17" x14ac:dyDescent="0.45">
      <c r="P70" s="9">
        <f t="shared" si="1"/>
        <v>320000</v>
      </c>
      <c r="Q70">
        <f t="shared" si="0"/>
        <v>-0.87083496849999531</v>
      </c>
    </row>
    <row r="71" spans="16:17" x14ac:dyDescent="0.45">
      <c r="P71" s="9">
        <f t="shared" si="1"/>
        <v>325000</v>
      </c>
      <c r="Q71">
        <f t="shared" si="0"/>
        <v>-0.62035073811038777</v>
      </c>
    </row>
    <row r="72" spans="16:17" x14ac:dyDescent="0.45">
      <c r="P72" s="9">
        <f t="shared" si="1"/>
        <v>330000</v>
      </c>
      <c r="Q72">
        <f t="shared" ref="Q72:Q135" si="4">COS(P72)</f>
        <v>0.67893764862682782</v>
      </c>
    </row>
    <row r="73" spans="16:17" x14ac:dyDescent="0.45">
      <c r="P73" s="9">
        <f t="shared" ref="P73:P136" si="5">P72+5000</f>
        <v>335000</v>
      </c>
      <c r="Q73">
        <f t="shared" si="4"/>
        <v>0.8303711461288189</v>
      </c>
    </row>
    <row r="74" spans="16:17" x14ac:dyDescent="0.45">
      <c r="P74" s="9">
        <f t="shared" si="5"/>
        <v>340000</v>
      </c>
      <c r="Q74">
        <f t="shared" si="4"/>
        <v>-0.42207328520637866</v>
      </c>
    </row>
    <row r="75" spans="16:17" x14ac:dyDescent="0.45">
      <c r="P75" s="9">
        <f t="shared" si="5"/>
        <v>345000</v>
      </c>
      <c r="Q75">
        <f t="shared" si="4"/>
        <v>-0.96093395075750376</v>
      </c>
    </row>
    <row r="76" spans="16:17" x14ac:dyDescent="0.45">
      <c r="P76" s="9">
        <f t="shared" si="5"/>
        <v>350000</v>
      </c>
      <c r="Q76">
        <f t="shared" si="4"/>
        <v>0.12482103998911551</v>
      </c>
    </row>
    <row r="77" spans="16:17" x14ac:dyDescent="0.45">
      <c r="P77" s="9">
        <f t="shared" si="5"/>
        <v>355000</v>
      </c>
      <c r="Q77">
        <f t="shared" si="4"/>
        <v>0.99954569338338339</v>
      </c>
    </row>
    <row r="78" spans="16:17" x14ac:dyDescent="0.45">
      <c r="P78" s="9">
        <f t="shared" si="5"/>
        <v>360000</v>
      </c>
      <c r="Q78">
        <f t="shared" si="4"/>
        <v>0.18437523861175967</v>
      </c>
    </row>
    <row r="79" spans="16:17" x14ac:dyDescent="0.45">
      <c r="P79" s="9">
        <f t="shared" si="5"/>
        <v>365000</v>
      </c>
      <c r="Q79">
        <f t="shared" si="4"/>
        <v>-0.94251164479283178</v>
      </c>
    </row>
    <row r="80" spans="16:17" x14ac:dyDescent="0.45">
      <c r="P80" s="9">
        <f t="shared" si="5"/>
        <v>370000</v>
      </c>
      <c r="Q80">
        <f t="shared" si="4"/>
        <v>-0.47592878642556302</v>
      </c>
    </row>
    <row r="81" spans="16:17" x14ac:dyDescent="0.45">
      <c r="P81" s="9">
        <f t="shared" si="5"/>
        <v>375000</v>
      </c>
      <c r="Q81">
        <f t="shared" si="4"/>
        <v>0.79528935108887377</v>
      </c>
    </row>
    <row r="82" spans="16:17" x14ac:dyDescent="0.45">
      <c r="P82" s="9">
        <f t="shared" si="5"/>
        <v>380000</v>
      </c>
      <c r="Q82">
        <f t="shared" si="4"/>
        <v>0.72194105919643636</v>
      </c>
    </row>
    <row r="83" spans="16:17" x14ac:dyDescent="0.45">
      <c r="P83" s="9">
        <f t="shared" si="5"/>
        <v>385000</v>
      </c>
      <c r="Q83">
        <f t="shared" si="4"/>
        <v>-0.57196640512416741</v>
      </c>
    </row>
    <row r="84" spans="16:17" x14ac:dyDescent="0.45">
      <c r="P84" s="9">
        <f t="shared" si="5"/>
        <v>390000</v>
      </c>
      <c r="Q84">
        <f t="shared" si="4"/>
        <v>-0.89887132373540923</v>
      </c>
    </row>
    <row r="85" spans="16:17" x14ac:dyDescent="0.45">
      <c r="P85" s="9">
        <f t="shared" si="5"/>
        <v>395000</v>
      </c>
      <c r="Q85">
        <f t="shared" si="4"/>
        <v>0.29391241511669935</v>
      </c>
    </row>
    <row r="86" spans="16:17" x14ac:dyDescent="0.45">
      <c r="P86" s="9">
        <f t="shared" si="5"/>
        <v>400000</v>
      </c>
      <c r="Q86">
        <f t="shared" si="4"/>
        <v>0.98978925334107726</v>
      </c>
    </row>
    <row r="87" spans="16:17" x14ac:dyDescent="0.45">
      <c r="P87" s="9">
        <f t="shared" si="5"/>
        <v>405000</v>
      </c>
      <c r="Q87">
        <f t="shared" si="4"/>
        <v>1.2265837421492789E-2</v>
      </c>
    </row>
    <row r="88" spans="16:17" x14ac:dyDescent="0.45">
      <c r="P88" s="9">
        <f t="shared" si="5"/>
        <v>410000</v>
      </c>
      <c r="Q88">
        <f t="shared" si="4"/>
        <v>-0.98599497829216831</v>
      </c>
    </row>
    <row r="89" spans="16:17" x14ac:dyDescent="0.45">
      <c r="P89" s="9">
        <f t="shared" si="5"/>
        <v>415000</v>
      </c>
      <c r="Q89">
        <f t="shared" si="4"/>
        <v>-0.31727038101083271</v>
      </c>
    </row>
    <row r="90" spans="16:17" x14ac:dyDescent="0.45">
      <c r="P90" s="9">
        <f t="shared" si="5"/>
        <v>420000</v>
      </c>
      <c r="Q90">
        <f t="shared" si="4"/>
        <v>0.88785156997356063</v>
      </c>
    </row>
    <row r="91" spans="16:17" x14ac:dyDescent="0.45">
      <c r="P91" s="9">
        <f t="shared" si="5"/>
        <v>425000</v>
      </c>
      <c r="Q91">
        <f t="shared" si="4"/>
        <v>0.59191555551660191</v>
      </c>
    </row>
    <row r="92" spans="16:17" x14ac:dyDescent="0.45">
      <c r="P92" s="9">
        <f t="shared" si="5"/>
        <v>430000</v>
      </c>
      <c r="Q92">
        <f t="shared" si="4"/>
        <v>-0.70475029884287199</v>
      </c>
    </row>
    <row r="93" spans="16:17" x14ac:dyDescent="0.45">
      <c r="P93" s="9">
        <f t="shared" si="5"/>
        <v>435000</v>
      </c>
      <c r="Q93">
        <f t="shared" si="4"/>
        <v>-0.80992076647146638</v>
      </c>
    </row>
    <row r="94" spans="16:17" x14ac:dyDescent="0.45">
      <c r="P94" s="9">
        <f t="shared" si="5"/>
        <v>440000</v>
      </c>
      <c r="Q94">
        <f t="shared" si="4"/>
        <v>0.45421199067721058</v>
      </c>
    </row>
    <row r="95" spans="16:17" x14ac:dyDescent="0.45">
      <c r="P95" s="9">
        <f t="shared" si="5"/>
        <v>445000</v>
      </c>
      <c r="Q95">
        <f t="shared" si="4"/>
        <v>0.95042525580392334</v>
      </c>
    </row>
    <row r="96" spans="16:17" x14ac:dyDescent="0.45">
      <c r="P96" s="9">
        <f t="shared" si="5"/>
        <v>450000</v>
      </c>
      <c r="Q96">
        <f t="shared" si="4"/>
        <v>-0.16021047165896732</v>
      </c>
    </row>
    <row r="97" spans="16:17" x14ac:dyDescent="0.45">
      <c r="P97" s="9">
        <f t="shared" si="5"/>
        <v>455000</v>
      </c>
      <c r="Q97">
        <f t="shared" si="4"/>
        <v>-0.99998425241383981</v>
      </c>
    </row>
    <row r="98" spans="16:17" x14ac:dyDescent="0.45">
      <c r="P98" s="9">
        <f t="shared" si="5"/>
        <v>460000</v>
      </c>
      <c r="Q98">
        <f t="shared" si="4"/>
        <v>-0.14912146939442159</v>
      </c>
    </row>
    <row r="99" spans="16:17" x14ac:dyDescent="0.45">
      <c r="P99" s="9">
        <f t="shared" si="5"/>
        <v>465000</v>
      </c>
      <c r="Q99">
        <f t="shared" si="4"/>
        <v>0.95385549241670731</v>
      </c>
    </row>
    <row r="100" spans="16:17" x14ac:dyDescent="0.45">
      <c r="P100" s="9">
        <f t="shared" si="5"/>
        <v>470000</v>
      </c>
      <c r="Q100">
        <f t="shared" si="4"/>
        <v>0.44418408687210909</v>
      </c>
    </row>
    <row r="101" spans="16:17" x14ac:dyDescent="0.45">
      <c r="P101" s="9">
        <f t="shared" si="5"/>
        <v>475000</v>
      </c>
      <c r="Q101">
        <f t="shared" si="4"/>
        <v>-0.81645300288198808</v>
      </c>
    </row>
    <row r="102" spans="16:17" x14ac:dyDescent="0.45">
      <c r="P102" s="9">
        <f t="shared" si="5"/>
        <v>480000</v>
      </c>
      <c r="Q102">
        <f t="shared" si="4"/>
        <v>-0.69674305622659305</v>
      </c>
    </row>
    <row r="103" spans="16:17" x14ac:dyDescent="0.45">
      <c r="P103" s="9">
        <f t="shared" si="5"/>
        <v>485000</v>
      </c>
      <c r="Q103">
        <f t="shared" si="4"/>
        <v>0.60092472683384857</v>
      </c>
    </row>
    <row r="104" spans="16:17" x14ac:dyDescent="0.45">
      <c r="P104" s="9">
        <f t="shared" si="5"/>
        <v>490000</v>
      </c>
      <c r="Q104">
        <f t="shared" si="4"/>
        <v>0.88263119569457738</v>
      </c>
    </row>
    <row r="105" spans="16:17" x14ac:dyDescent="0.45">
      <c r="P105" s="9">
        <f t="shared" si="5"/>
        <v>495000</v>
      </c>
      <c r="Q105">
        <f t="shared" si="4"/>
        <v>-0.32789440626687388</v>
      </c>
    </row>
    <row r="106" spans="16:17" x14ac:dyDescent="0.45">
      <c r="P106" s="9">
        <f t="shared" si="5"/>
        <v>500000</v>
      </c>
      <c r="Q106">
        <f t="shared" si="4"/>
        <v>-0.98406100612033687</v>
      </c>
    </row>
    <row r="107" spans="16:17" x14ac:dyDescent="0.45">
      <c r="P107" s="9">
        <f t="shared" si="5"/>
        <v>505000</v>
      </c>
      <c r="Q107">
        <f t="shared" si="4"/>
        <v>2.3488111464364192E-2</v>
      </c>
    </row>
    <row r="108" spans="16:17" x14ac:dyDescent="0.45">
      <c r="P108" s="9">
        <f t="shared" si="5"/>
        <v>510000</v>
      </c>
      <c r="Q108">
        <f t="shared" si="4"/>
        <v>0.99132674364911466</v>
      </c>
    </row>
    <row r="109" spans="16:17" x14ac:dyDescent="0.45">
      <c r="P109" s="9">
        <f t="shared" si="5"/>
        <v>515000</v>
      </c>
      <c r="Q109">
        <f t="shared" si="4"/>
        <v>0.28316574342475298</v>
      </c>
    </row>
    <row r="110" spans="16:17" x14ac:dyDescent="0.45">
      <c r="P110" s="9">
        <f t="shared" si="5"/>
        <v>520000</v>
      </c>
      <c r="Q110">
        <f t="shared" si="4"/>
        <v>-0.90373315520812891</v>
      </c>
    </row>
    <row r="111" spans="16:17" x14ac:dyDescent="0.45">
      <c r="P111" s="9">
        <f t="shared" si="5"/>
        <v>525000</v>
      </c>
      <c r="Q111">
        <f t="shared" si="4"/>
        <v>-0.56272367688223091</v>
      </c>
    </row>
    <row r="112" spans="16:17" x14ac:dyDescent="0.45">
      <c r="P112" s="9">
        <f t="shared" si="5"/>
        <v>530000</v>
      </c>
      <c r="Q112">
        <f t="shared" si="4"/>
        <v>0.7296620067610402</v>
      </c>
    </row>
    <row r="113" spans="16:17" x14ac:dyDescent="0.45">
      <c r="P113" s="9">
        <f t="shared" si="5"/>
        <v>535000</v>
      </c>
      <c r="Q113">
        <f t="shared" si="4"/>
        <v>0.78843499615498203</v>
      </c>
    </row>
    <row r="114" spans="16:17" x14ac:dyDescent="0.45">
      <c r="P114" s="9">
        <f t="shared" si="5"/>
        <v>540000</v>
      </c>
      <c r="Q114">
        <f t="shared" si="4"/>
        <v>-0.48577003829621124</v>
      </c>
    </row>
    <row r="115" spans="16:17" x14ac:dyDescent="0.45">
      <c r="P115" s="9">
        <f t="shared" si="5"/>
        <v>545000</v>
      </c>
      <c r="Q115">
        <f t="shared" si="4"/>
        <v>-0.93870155134225297</v>
      </c>
    </row>
    <row r="116" spans="16:17" x14ac:dyDescent="0.45">
      <c r="P116" s="9">
        <f t="shared" si="5"/>
        <v>550000</v>
      </c>
      <c r="Q116">
        <f t="shared" si="4"/>
        <v>0.19539509264520932</v>
      </c>
    </row>
    <row r="117" spans="16:17" x14ac:dyDescent="0.45">
      <c r="P117" s="9">
        <f t="shared" si="5"/>
        <v>555000</v>
      </c>
      <c r="Q117">
        <f t="shared" si="4"/>
        <v>0.9991444464522008</v>
      </c>
    </row>
    <row r="118" spans="16:17" x14ac:dyDescent="0.45">
      <c r="P118" s="9">
        <f t="shared" si="5"/>
        <v>560000</v>
      </c>
      <c r="Q118">
        <f t="shared" si="4"/>
        <v>0.113677065509004</v>
      </c>
    </row>
    <row r="119" spans="16:17" x14ac:dyDescent="0.45">
      <c r="P119" s="9">
        <f t="shared" si="5"/>
        <v>565000</v>
      </c>
      <c r="Q119">
        <f t="shared" si="4"/>
        <v>-0.96397994536903675</v>
      </c>
    </row>
    <row r="120" spans="16:17" x14ac:dyDescent="0.45">
      <c r="P120" s="9">
        <f t="shared" si="5"/>
        <v>570000</v>
      </c>
      <c r="Q120">
        <f t="shared" si="4"/>
        <v>-0.41187154898986905</v>
      </c>
    </row>
    <row r="121" spans="16:17" x14ac:dyDescent="0.45">
      <c r="P121" s="9">
        <f t="shared" si="5"/>
        <v>575000</v>
      </c>
      <c r="Q121">
        <f t="shared" si="4"/>
        <v>0.83657291330211969</v>
      </c>
    </row>
    <row r="122" spans="16:17" x14ac:dyDescent="0.45">
      <c r="P122" s="9">
        <f t="shared" si="5"/>
        <v>580000</v>
      </c>
      <c r="Q122">
        <f t="shared" si="4"/>
        <v>0.67065434729871531</v>
      </c>
    </row>
    <row r="123" spans="16:17" x14ac:dyDescent="0.45">
      <c r="P123" s="9">
        <f t="shared" si="5"/>
        <v>585000</v>
      </c>
      <c r="Q123">
        <f t="shared" si="4"/>
        <v>-0.62911483531235679</v>
      </c>
    </row>
    <row r="124" spans="16:17" x14ac:dyDescent="0.45">
      <c r="P124" s="9">
        <f t="shared" si="5"/>
        <v>590000</v>
      </c>
      <c r="Q124">
        <f t="shared" si="4"/>
        <v>-0.86526272506356605</v>
      </c>
    </row>
    <row r="125" spans="16:17" x14ac:dyDescent="0.45">
      <c r="P125" s="9">
        <f t="shared" si="5"/>
        <v>595000</v>
      </c>
      <c r="Q125">
        <f t="shared" si="4"/>
        <v>0.36145722208597336</v>
      </c>
    </row>
    <row r="126" spans="16:17" x14ac:dyDescent="0.45">
      <c r="P126" s="9">
        <f t="shared" si="5"/>
        <v>600000</v>
      </c>
      <c r="Q126">
        <f t="shared" si="4"/>
        <v>0.97707474994868171</v>
      </c>
    </row>
    <row r="127" spans="16:17" x14ac:dyDescent="0.45">
      <c r="P127" s="9">
        <f t="shared" si="5"/>
        <v>605000</v>
      </c>
      <c r="Q127">
        <f t="shared" si="4"/>
        <v>-5.9212033497944253E-2</v>
      </c>
    </row>
    <row r="128" spans="16:17" x14ac:dyDescent="0.45">
      <c r="P128" s="9">
        <f t="shared" si="5"/>
        <v>610000</v>
      </c>
      <c r="Q128">
        <f t="shared" si="4"/>
        <v>-0.99539121164437783</v>
      </c>
    </row>
    <row r="129" spans="16:17" x14ac:dyDescent="0.45">
      <c r="P129" s="9">
        <f t="shared" si="5"/>
        <v>615000</v>
      </c>
      <c r="Q129">
        <f t="shared" si="4"/>
        <v>-0.2486991109647729</v>
      </c>
    </row>
    <row r="130" spans="16:17" x14ac:dyDescent="0.45">
      <c r="P130" s="9">
        <f t="shared" si="5"/>
        <v>620000</v>
      </c>
      <c r="Q130">
        <f t="shared" si="4"/>
        <v>0.91845942142139747</v>
      </c>
    </row>
    <row r="131" spans="16:17" x14ac:dyDescent="0.45">
      <c r="P131" s="9">
        <f t="shared" si="5"/>
        <v>625000</v>
      </c>
      <c r="Q131">
        <f t="shared" si="4"/>
        <v>0.53281242067065016</v>
      </c>
    </row>
    <row r="132" spans="16:17" x14ac:dyDescent="0.45">
      <c r="P132" s="9">
        <f t="shared" si="5"/>
        <v>630000</v>
      </c>
      <c r="Q132">
        <f t="shared" si="4"/>
        <v>-0.75364092562452711</v>
      </c>
    </row>
    <row r="133" spans="16:17" x14ac:dyDescent="0.45">
      <c r="P133" s="9">
        <f t="shared" si="5"/>
        <v>635000</v>
      </c>
      <c r="Q133">
        <f t="shared" si="4"/>
        <v>-0.76594130226850721</v>
      </c>
    </row>
    <row r="134" spans="16:17" x14ac:dyDescent="0.45">
      <c r="P134" s="9">
        <f t="shared" si="5"/>
        <v>640000</v>
      </c>
      <c r="Q134">
        <f t="shared" si="4"/>
        <v>0.51670708472477545</v>
      </c>
    </row>
    <row r="135" spans="16:17" x14ac:dyDescent="0.45">
      <c r="P135" s="9">
        <f t="shared" si="5"/>
        <v>645000</v>
      </c>
      <c r="Q135">
        <f t="shared" si="4"/>
        <v>0.92577782478186965</v>
      </c>
    </row>
    <row r="136" spans="16:17" x14ac:dyDescent="0.45">
      <c r="P136" s="9">
        <f t="shared" si="5"/>
        <v>650000</v>
      </c>
      <c r="Q136">
        <f t="shared" ref="Q136:Q199" si="6">COS(P136)</f>
        <v>-0.23032992345179409</v>
      </c>
    </row>
    <row r="137" spans="16:17" x14ac:dyDescent="0.45">
      <c r="P137" s="9">
        <f t="shared" ref="P137:P200" si="7">P136+5000</f>
        <v>655000</v>
      </c>
      <c r="Q137">
        <f t="shared" si="6"/>
        <v>-0.99702734909391466</v>
      </c>
    </row>
    <row r="138" spans="16:17" x14ac:dyDescent="0.45">
      <c r="P138" s="9">
        <f t="shared" si="7"/>
        <v>660000</v>
      </c>
      <c r="Q138">
        <f t="shared" si="6"/>
        <v>-7.8087338554148025E-2</v>
      </c>
    </row>
    <row r="139" spans="16:17" x14ac:dyDescent="0.45">
      <c r="P139" s="9">
        <f t="shared" si="7"/>
        <v>665000</v>
      </c>
      <c r="Q139">
        <f t="shared" si="6"/>
        <v>0.97287206069978172</v>
      </c>
    </row>
    <row r="140" spans="16:17" x14ac:dyDescent="0.45">
      <c r="P140" s="9">
        <f t="shared" si="7"/>
        <v>670000</v>
      </c>
      <c r="Q140">
        <f t="shared" si="6"/>
        <v>0.37903248064657646</v>
      </c>
    </row>
    <row r="141" spans="16:17" x14ac:dyDescent="0.45">
      <c r="P141" s="9">
        <f t="shared" si="7"/>
        <v>675000</v>
      </c>
      <c r="Q141">
        <f t="shared" si="6"/>
        <v>-0.85562336135509998</v>
      </c>
    </row>
    <row r="142" spans="16:17" x14ac:dyDescent="0.45">
      <c r="P142" s="9">
        <f t="shared" si="7"/>
        <v>680000</v>
      </c>
      <c r="Q142">
        <f t="shared" si="6"/>
        <v>-0.64370828383018985</v>
      </c>
    </row>
    <row r="143" spans="16:17" x14ac:dyDescent="0.45">
      <c r="P143" s="9">
        <f t="shared" si="7"/>
        <v>685000</v>
      </c>
      <c r="Q143">
        <f t="shared" si="6"/>
        <v>0.65650069274438116</v>
      </c>
    </row>
    <row r="144" spans="16:17" x14ac:dyDescent="0.45">
      <c r="P144" s="9">
        <f t="shared" si="7"/>
        <v>690000</v>
      </c>
      <c r="Q144">
        <f t="shared" si="6"/>
        <v>0.8467881154368494</v>
      </c>
    </row>
    <row r="145" spans="16:17" x14ac:dyDescent="0.45">
      <c r="P145" s="9">
        <f t="shared" si="7"/>
        <v>695000</v>
      </c>
      <c r="Q145">
        <f t="shared" si="6"/>
        <v>-0.39455795636954927</v>
      </c>
    </row>
    <row r="146" spans="16:17" x14ac:dyDescent="0.45">
      <c r="P146" s="9">
        <f t="shared" si="7"/>
        <v>700000</v>
      </c>
      <c r="Q146">
        <f t="shared" si="6"/>
        <v>-0.96883941595207124</v>
      </c>
    </row>
    <row r="147" spans="16:17" x14ac:dyDescent="0.45">
      <c r="P147" s="9">
        <f t="shared" si="7"/>
        <v>705000</v>
      </c>
      <c r="Q147">
        <f t="shared" si="6"/>
        <v>9.48602597487639E-2</v>
      </c>
    </row>
    <row r="148" spans="16:17" x14ac:dyDescent="0.45">
      <c r="P148" s="9">
        <f t="shared" si="7"/>
        <v>710000</v>
      </c>
      <c r="Q148">
        <f t="shared" si="6"/>
        <v>0.99818318632253722</v>
      </c>
    </row>
    <row r="149" spans="16:17" x14ac:dyDescent="0.45">
      <c r="P149" s="9">
        <f t="shared" si="7"/>
        <v>715000</v>
      </c>
      <c r="Q149">
        <f t="shared" si="6"/>
        <v>0.21391454526108908</v>
      </c>
    </row>
    <row r="150" spans="16:17" x14ac:dyDescent="0.45">
      <c r="P150" s="9">
        <f t="shared" si="7"/>
        <v>720000</v>
      </c>
      <c r="Q150">
        <f t="shared" si="6"/>
        <v>-0.93201154277371334</v>
      </c>
    </row>
    <row r="151" spans="16:17" x14ac:dyDescent="0.45">
      <c r="P151" s="9">
        <f t="shared" si="7"/>
        <v>725000</v>
      </c>
      <c r="Q151">
        <f t="shared" si="6"/>
        <v>-0.50222002498682783</v>
      </c>
    </row>
    <row r="152" spans="16:17" x14ac:dyDescent="0.45">
      <c r="P152" s="9">
        <f t="shared" si="7"/>
        <v>730000</v>
      </c>
      <c r="Q152">
        <f t="shared" si="6"/>
        <v>0.77665640114017809</v>
      </c>
    </row>
    <row r="153" spans="16:17" x14ac:dyDescent="0.45">
      <c r="P153" s="9">
        <f t="shared" si="7"/>
        <v>735000</v>
      </c>
      <c r="Q153">
        <f t="shared" si="6"/>
        <v>0.7424684404156805</v>
      </c>
    </row>
    <row r="154" spans="16:17" x14ac:dyDescent="0.45">
      <c r="P154" s="9">
        <f t="shared" si="7"/>
        <v>740000</v>
      </c>
      <c r="Q154">
        <f t="shared" si="6"/>
        <v>-0.54698358050298168</v>
      </c>
    </row>
    <row r="155" spans="16:17" x14ac:dyDescent="0.45">
      <c r="P155" s="9">
        <f t="shared" si="7"/>
        <v>745000</v>
      </c>
      <c r="Q155">
        <f t="shared" si="6"/>
        <v>-0.91167059762254943</v>
      </c>
    </row>
    <row r="156" spans="16:17" x14ac:dyDescent="0.45">
      <c r="P156" s="9">
        <f t="shared" si="7"/>
        <v>750000</v>
      </c>
      <c r="Q156">
        <f t="shared" si="6"/>
        <v>0.2649703039107239</v>
      </c>
    </row>
    <row r="157" spans="16:17" x14ac:dyDescent="0.45">
      <c r="P157" s="9">
        <f t="shared" si="7"/>
        <v>755000</v>
      </c>
      <c r="Q157">
        <f t="shared" si="6"/>
        <v>0.99363566680474913</v>
      </c>
    </row>
    <row r="158" spans="16:17" x14ac:dyDescent="0.45">
      <c r="P158" s="9">
        <f t="shared" si="7"/>
        <v>760000</v>
      </c>
      <c r="Q158">
        <f t="shared" si="6"/>
        <v>4.2397785907344852E-2</v>
      </c>
    </row>
    <row r="159" spans="16:17" x14ac:dyDescent="0.45">
      <c r="P159" s="9">
        <f t="shared" si="7"/>
        <v>765000</v>
      </c>
      <c r="Q159">
        <f t="shared" si="6"/>
        <v>-0.98052047086098604</v>
      </c>
    </row>
    <row r="160" spans="16:17" x14ac:dyDescent="0.45">
      <c r="P160" s="9">
        <f t="shared" si="7"/>
        <v>770000</v>
      </c>
      <c r="Q160">
        <f t="shared" si="6"/>
        <v>-0.34570886281867352</v>
      </c>
    </row>
    <row r="161" spans="16:17" x14ac:dyDescent="0.45">
      <c r="P161" s="9">
        <f t="shared" si="7"/>
        <v>775000</v>
      </c>
      <c r="Q161">
        <f t="shared" si="6"/>
        <v>0.87357999323154045</v>
      </c>
    </row>
    <row r="162" spans="16:17" x14ac:dyDescent="0.45">
      <c r="P162" s="9">
        <f t="shared" si="7"/>
        <v>780000</v>
      </c>
      <c r="Q162">
        <f t="shared" si="6"/>
        <v>0.6159393132676938</v>
      </c>
    </row>
    <row r="163" spans="16:17" x14ac:dyDescent="0.45">
      <c r="P163" s="9">
        <f t="shared" si="7"/>
        <v>785000</v>
      </c>
      <c r="Q163">
        <f t="shared" si="6"/>
        <v>-0.6830472894571844</v>
      </c>
    </row>
    <row r="164" spans="16:17" x14ac:dyDescent="0.45">
      <c r="P164" s="9">
        <f t="shared" si="7"/>
        <v>790000</v>
      </c>
      <c r="Q164">
        <f t="shared" si="6"/>
        <v>-0.827230984480538</v>
      </c>
    </row>
    <row r="165" spans="16:17" x14ac:dyDescent="0.45">
      <c r="P165" s="9">
        <f t="shared" si="7"/>
        <v>795000</v>
      </c>
      <c r="Q165">
        <f t="shared" si="6"/>
        <v>0.42715429363131413</v>
      </c>
    </row>
    <row r="166" spans="16:17" x14ac:dyDescent="0.45">
      <c r="P166" s="9">
        <f t="shared" si="7"/>
        <v>800000</v>
      </c>
      <c r="Q166">
        <f t="shared" si="6"/>
        <v>0.95936553205897435</v>
      </c>
    </row>
    <row r="167" spans="16:17" x14ac:dyDescent="0.45">
      <c r="P167" s="9">
        <f t="shared" si="7"/>
        <v>805000</v>
      </c>
      <c r="Q167">
        <f t="shared" si="6"/>
        <v>-0.13038721805470227</v>
      </c>
    </row>
    <row r="168" spans="16:17" x14ac:dyDescent="0.45">
      <c r="P168" s="9">
        <f t="shared" si="7"/>
        <v>810000</v>
      </c>
      <c r="Q168">
        <f t="shared" si="6"/>
        <v>-0.99969909846469907</v>
      </c>
    </row>
    <row r="169" spans="16:17" x14ac:dyDescent="0.45">
      <c r="P169" s="9">
        <f t="shared" si="7"/>
        <v>815000</v>
      </c>
      <c r="Q169">
        <f t="shared" si="6"/>
        <v>-0.17885651438502714</v>
      </c>
    </row>
    <row r="170" spans="16:17" x14ac:dyDescent="0.45">
      <c r="P170" s="9">
        <f t="shared" si="7"/>
        <v>820000</v>
      </c>
      <c r="Q170">
        <f t="shared" si="6"/>
        <v>0.94437219443474696</v>
      </c>
    </row>
    <row r="171" spans="16:17" x14ac:dyDescent="0.45">
      <c r="P171" s="9">
        <f t="shared" si="7"/>
        <v>825000</v>
      </c>
      <c r="Q171">
        <f t="shared" si="6"/>
        <v>0.4709855986943009</v>
      </c>
    </row>
    <row r="172" spans="16:17" x14ac:dyDescent="0.45">
      <c r="P172" s="9">
        <f t="shared" si="7"/>
        <v>830000</v>
      </c>
      <c r="Q172">
        <f t="shared" si="6"/>
        <v>-0.79867901066648206</v>
      </c>
    </row>
    <row r="173" spans="16:17" x14ac:dyDescent="0.45">
      <c r="P173" s="9">
        <f t="shared" si="7"/>
        <v>835000</v>
      </c>
      <c r="Q173">
        <f t="shared" si="6"/>
        <v>-0.71804641795390223</v>
      </c>
    </row>
    <row r="174" spans="16:17" x14ac:dyDescent="0.45">
      <c r="P174" s="9">
        <f t="shared" si="7"/>
        <v>840000</v>
      </c>
      <c r="Q174">
        <f t="shared" si="6"/>
        <v>0.57656082060903291</v>
      </c>
    </row>
    <row r="175" spans="16:17" x14ac:dyDescent="0.45">
      <c r="P175" s="9">
        <f t="shared" si="7"/>
        <v>845000</v>
      </c>
      <c r="Q175">
        <f t="shared" si="6"/>
        <v>0.89639790433362765</v>
      </c>
    </row>
    <row r="176" spans="16:17" x14ac:dyDescent="0.45">
      <c r="P176" s="9">
        <f t="shared" si="7"/>
        <v>850000</v>
      </c>
      <c r="Q176">
        <f t="shared" si="6"/>
        <v>-0.29927195027494502</v>
      </c>
    </row>
    <row r="177" spans="16:17" x14ac:dyDescent="0.45">
      <c r="P177" s="9">
        <f t="shared" si="7"/>
        <v>855000</v>
      </c>
      <c r="Q177">
        <f t="shared" si="6"/>
        <v>-0.98897373546088674</v>
      </c>
    </row>
    <row r="178" spans="16:17" x14ac:dyDescent="0.45">
      <c r="P178" s="9">
        <f t="shared" si="7"/>
        <v>860000</v>
      </c>
      <c r="Q178">
        <f t="shared" si="6"/>
        <v>-6.654032561765201E-3</v>
      </c>
    </row>
    <row r="179" spans="16:17" x14ac:dyDescent="0.45">
      <c r="P179" s="9">
        <f t="shared" si="7"/>
        <v>865000</v>
      </c>
      <c r="Q179">
        <f t="shared" si="6"/>
        <v>0.98691539823888064</v>
      </c>
    </row>
    <row r="180" spans="16:17" x14ac:dyDescent="0.45">
      <c r="P180" s="9">
        <f t="shared" si="7"/>
        <v>870000</v>
      </c>
      <c r="Q180">
        <f t="shared" si="6"/>
        <v>0.31194329592345504</v>
      </c>
    </row>
    <row r="181" spans="16:17" x14ac:dyDescent="0.45">
      <c r="P181" s="9">
        <f t="shared" si="7"/>
        <v>875000</v>
      </c>
      <c r="Q181">
        <f t="shared" si="6"/>
        <v>-0.89041985344038088</v>
      </c>
    </row>
    <row r="182" spans="16:17" x14ac:dyDescent="0.45">
      <c r="P182" s="9">
        <f t="shared" si="7"/>
        <v>880000</v>
      </c>
      <c r="Q182">
        <f t="shared" si="6"/>
        <v>-0.5873829350500912</v>
      </c>
    </row>
    <row r="183" spans="16:17" x14ac:dyDescent="0.45">
      <c r="P183" s="9">
        <f t="shared" si="7"/>
        <v>885000</v>
      </c>
      <c r="Q183">
        <f t="shared" si="6"/>
        <v>0.70872068867644711</v>
      </c>
    </row>
    <row r="184" spans="16:17" x14ac:dyDescent="0.45">
      <c r="P184" s="9">
        <f t="shared" si="7"/>
        <v>890000</v>
      </c>
      <c r="Q184">
        <f t="shared" si="6"/>
        <v>0.80661633373990616</v>
      </c>
    </row>
    <row r="185" spans="16:17" x14ac:dyDescent="0.45">
      <c r="P185" s="9">
        <f t="shared" si="7"/>
        <v>895000</v>
      </c>
      <c r="Q185">
        <f t="shared" si="6"/>
        <v>-0.45920456319862946</v>
      </c>
    </row>
    <row r="186" spans="16:17" x14ac:dyDescent="0.45">
      <c r="P186" s="9">
        <f t="shared" si="7"/>
        <v>900000</v>
      </c>
      <c r="Q186">
        <f t="shared" si="6"/>
        <v>-0.94866520954162248</v>
      </c>
    </row>
    <row r="187" spans="16:17" x14ac:dyDescent="0.45">
      <c r="P187" s="9">
        <f t="shared" si="7"/>
        <v>905000</v>
      </c>
      <c r="Q187">
        <f t="shared" si="6"/>
        <v>0.16574749128077512</v>
      </c>
    </row>
    <row r="188" spans="16:17" x14ac:dyDescent="0.45">
      <c r="P188" s="9">
        <f t="shared" si="7"/>
        <v>910000</v>
      </c>
      <c r="Q188">
        <f t="shared" si="6"/>
        <v>0.99993701015133196</v>
      </c>
    </row>
    <row r="189" spans="16:17" x14ac:dyDescent="0.45">
      <c r="P189" s="9">
        <f t="shared" si="7"/>
        <v>915000</v>
      </c>
      <c r="Q189">
        <f t="shared" si="6"/>
        <v>0.14356983600172085</v>
      </c>
    </row>
    <row r="190" spans="16:17" x14ac:dyDescent="0.45">
      <c r="P190" s="9">
        <f t="shared" si="7"/>
        <v>920000</v>
      </c>
      <c r="Q190">
        <f t="shared" si="6"/>
        <v>-0.95552557473129718</v>
      </c>
    </row>
    <row r="191" spans="16:17" x14ac:dyDescent="0.45">
      <c r="P191" s="9">
        <f t="shared" si="7"/>
        <v>925000</v>
      </c>
      <c r="Q191">
        <f t="shared" si="6"/>
        <v>-0.43914907141898496</v>
      </c>
    </row>
    <row r="192" spans="16:17" x14ac:dyDescent="0.45">
      <c r="P192" s="9">
        <f t="shared" si="7"/>
        <v>930000</v>
      </c>
      <c r="Q192">
        <f t="shared" si="6"/>
        <v>0.81968060082703831</v>
      </c>
    </row>
    <row r="193" spans="16:17" x14ac:dyDescent="0.45">
      <c r="P193" s="9">
        <f t="shared" si="7"/>
        <v>935000</v>
      </c>
      <c r="Q193">
        <f t="shared" si="6"/>
        <v>0.69270645563337518</v>
      </c>
    </row>
    <row r="194" spans="16:17" x14ac:dyDescent="0.45">
      <c r="P194" s="9">
        <f t="shared" si="7"/>
        <v>940000</v>
      </c>
      <c r="Q194">
        <f t="shared" si="6"/>
        <v>-0.60540099393918123</v>
      </c>
    </row>
    <row r="195" spans="16:17" x14ac:dyDescent="0.45">
      <c r="P195" s="9">
        <f t="shared" si="7"/>
        <v>945000</v>
      </c>
      <c r="Q195">
        <f t="shared" si="6"/>
        <v>-0.87997926929900172</v>
      </c>
    </row>
    <row r="196" spans="16:17" x14ac:dyDescent="0.45">
      <c r="P196" s="9">
        <f t="shared" si="7"/>
        <v>950000</v>
      </c>
      <c r="Q196">
        <f t="shared" si="6"/>
        <v>0.3331910118300313</v>
      </c>
    </row>
    <row r="197" spans="16:17" x14ac:dyDescent="0.45">
      <c r="P197" s="9">
        <f t="shared" si="7"/>
        <v>955000</v>
      </c>
      <c r="Q197">
        <f t="shared" si="6"/>
        <v>0.9830475148060045</v>
      </c>
    </row>
    <row r="198" spans="16:17" x14ac:dyDescent="0.45">
      <c r="P198" s="9">
        <f t="shared" si="7"/>
        <v>960000</v>
      </c>
      <c r="Q198">
        <f t="shared" si="6"/>
        <v>-2.9098227200053197E-2</v>
      </c>
    </row>
    <row r="199" spans="16:17" x14ac:dyDescent="0.45">
      <c r="P199" s="9">
        <f t="shared" si="7"/>
        <v>965000</v>
      </c>
      <c r="Q199">
        <f t="shared" si="6"/>
        <v>-0.99204866765343946</v>
      </c>
    </row>
    <row r="200" spans="16:17" x14ac:dyDescent="0.45">
      <c r="P200" s="9">
        <f t="shared" si="7"/>
        <v>970000</v>
      </c>
      <c r="Q200">
        <f t="shared" ref="Q200:Q263" si="8">COS(P200)</f>
        <v>-0.27777894535932901</v>
      </c>
    </row>
    <row r="201" spans="16:17" x14ac:dyDescent="0.45">
      <c r="P201" s="9">
        <f t="shared" ref="P201:P264" si="9">P200+5000</f>
        <v>975000</v>
      </c>
      <c r="Q201">
        <f t="shared" si="8"/>
        <v>0.90612141415484693</v>
      </c>
    </row>
    <row r="202" spans="16:17" x14ac:dyDescent="0.45">
      <c r="P202" s="9">
        <f t="shared" si="9"/>
        <v>980000</v>
      </c>
      <c r="Q202">
        <f t="shared" si="8"/>
        <v>0.55807565522647862</v>
      </c>
    </row>
    <row r="203" spans="16:17" x14ac:dyDescent="0.45">
      <c r="P203" s="9">
        <f t="shared" si="9"/>
        <v>985000</v>
      </c>
      <c r="Q203">
        <f t="shared" si="8"/>
        <v>-0.73348806991053594</v>
      </c>
    </row>
    <row r="204" spans="16:17" x14ac:dyDescent="0.45">
      <c r="P204" s="9">
        <f t="shared" si="9"/>
        <v>990000</v>
      </c>
      <c r="Q204">
        <f t="shared" si="8"/>
        <v>-0.7849705166777885</v>
      </c>
    </row>
    <row r="205" spans="16:17" x14ac:dyDescent="0.45">
      <c r="P205" s="9">
        <f t="shared" si="9"/>
        <v>995000</v>
      </c>
      <c r="Q205">
        <f t="shared" si="8"/>
        <v>0.49066779248367381</v>
      </c>
    </row>
    <row r="206" spans="16:17" x14ac:dyDescent="0.45">
      <c r="P206" s="9">
        <f t="shared" si="9"/>
        <v>1000000</v>
      </c>
      <c r="Q206">
        <f t="shared" si="8"/>
        <v>0.93675212753313919</v>
      </c>
    </row>
    <row r="207" spans="16:17" x14ac:dyDescent="0.45">
      <c r="P207" s="9">
        <f t="shared" si="9"/>
        <v>1005000</v>
      </c>
      <c r="Q207">
        <f t="shared" si="8"/>
        <v>-0.20089587537972473</v>
      </c>
    </row>
    <row r="208" spans="16:17" x14ac:dyDescent="0.45">
      <c r="P208" s="9">
        <f t="shared" si="9"/>
        <v>1010000</v>
      </c>
      <c r="Q208">
        <f t="shared" si="8"/>
        <v>-0.99889661723967516</v>
      </c>
    </row>
    <row r="209" spans="16:17" x14ac:dyDescent="0.45">
      <c r="P209" s="9">
        <f t="shared" si="9"/>
        <v>1015000</v>
      </c>
      <c r="Q209">
        <f t="shared" si="8"/>
        <v>-0.10809962007587585</v>
      </c>
    </row>
    <row r="210" spans="16:17" x14ac:dyDescent="0.45">
      <c r="P210" s="9">
        <f t="shared" si="9"/>
        <v>1020000</v>
      </c>
      <c r="Q210">
        <f t="shared" si="8"/>
        <v>0.96545742534791523</v>
      </c>
    </row>
    <row r="211" spans="16:17" x14ac:dyDescent="0.45">
      <c r="P211" s="9">
        <f t="shared" si="9"/>
        <v>1025000</v>
      </c>
      <c r="Q211">
        <f t="shared" si="8"/>
        <v>0.40675114250373506</v>
      </c>
    </row>
    <row r="212" spans="16:17" x14ac:dyDescent="0.45">
      <c r="P212" s="9">
        <f t="shared" si="9"/>
        <v>1030000</v>
      </c>
      <c r="Q212">
        <f t="shared" si="8"/>
        <v>-0.83963432350141398</v>
      </c>
    </row>
    <row r="213" spans="16:17" x14ac:dyDescent="0.45">
      <c r="P213" s="9">
        <f t="shared" si="9"/>
        <v>1035000</v>
      </c>
      <c r="Q213">
        <f t="shared" si="8"/>
        <v>-0.66648094768496202</v>
      </c>
    </row>
    <row r="214" spans="16:17" x14ac:dyDescent="0.45">
      <c r="P214" s="9">
        <f t="shared" si="9"/>
        <v>1040000</v>
      </c>
      <c r="Q214">
        <f t="shared" si="8"/>
        <v>0.63346723164488006</v>
      </c>
    </row>
    <row r="215" spans="16:17" x14ac:dyDescent="0.45">
      <c r="P215" s="9">
        <f t="shared" si="9"/>
        <v>1045000</v>
      </c>
      <c r="Q215">
        <f t="shared" si="8"/>
        <v>0.86243568185744934</v>
      </c>
    </row>
    <row r="216" spans="16:17" x14ac:dyDescent="0.45">
      <c r="P216" s="9">
        <f t="shared" si="9"/>
        <v>1050000</v>
      </c>
      <c r="Q216">
        <f t="shared" si="8"/>
        <v>-0.36668412695228508</v>
      </c>
    </row>
    <row r="217" spans="16:17" x14ac:dyDescent="0.45">
      <c r="P217" s="9">
        <f t="shared" si="9"/>
        <v>1055000</v>
      </c>
      <c r="Q217">
        <f t="shared" si="8"/>
        <v>-0.97586458083242666</v>
      </c>
    </row>
    <row r="218" spans="16:17" x14ac:dyDescent="0.45">
      <c r="P218" s="9">
        <f t="shared" si="9"/>
        <v>1060000</v>
      </c>
      <c r="Q218">
        <f t="shared" si="8"/>
        <v>6.4813288221096638E-2</v>
      </c>
    </row>
    <row r="219" spans="16:17" x14ac:dyDescent="0.45">
      <c r="P219" s="9">
        <f t="shared" si="9"/>
        <v>1065000</v>
      </c>
      <c r="Q219">
        <f t="shared" si="8"/>
        <v>0.99591371680940743</v>
      </c>
    </row>
    <row r="220" spans="16:17" x14ac:dyDescent="0.45">
      <c r="P220" s="9">
        <f t="shared" si="9"/>
        <v>1070000</v>
      </c>
      <c r="Q220">
        <f t="shared" si="8"/>
        <v>0.2432594863238132</v>
      </c>
    </row>
    <row r="221" spans="16:17" x14ac:dyDescent="0.45">
      <c r="P221" s="9">
        <f t="shared" si="9"/>
        <v>1075000</v>
      </c>
      <c r="Q221">
        <f t="shared" si="8"/>
        <v>-0.92066460273330464</v>
      </c>
    </row>
    <row r="222" spans="16:17" x14ac:dyDescent="0.45">
      <c r="P222" s="9">
        <f t="shared" si="9"/>
        <v>1080000</v>
      </c>
      <c r="Q222">
        <f t="shared" si="8"/>
        <v>-0.52805493978739493</v>
      </c>
    </row>
    <row r="223" spans="16:17" x14ac:dyDescent="0.45">
      <c r="P223" s="9">
        <f t="shared" si="9"/>
        <v>1085000</v>
      </c>
      <c r="Q223">
        <f t="shared" si="8"/>
        <v>0.75731777090773122</v>
      </c>
    </row>
    <row r="224" spans="16:17" x14ac:dyDescent="0.45">
      <c r="P224" s="9">
        <f t="shared" si="9"/>
        <v>1090000</v>
      </c>
      <c r="Q224">
        <f t="shared" si="8"/>
        <v>0.76232120498470479</v>
      </c>
    </row>
    <row r="225" spans="16:17" x14ac:dyDescent="0.45">
      <c r="P225" s="9">
        <f t="shared" si="9"/>
        <v>1095000</v>
      </c>
      <c r="Q225">
        <f t="shared" si="8"/>
        <v>-0.52150375936218951</v>
      </c>
    </row>
    <row r="226" spans="16:17" x14ac:dyDescent="0.45">
      <c r="P226" s="9">
        <f t="shared" si="9"/>
        <v>1100000</v>
      </c>
      <c r="Q226">
        <f t="shared" si="8"/>
        <v>-0.92364151554034013</v>
      </c>
    </row>
    <row r="227" spans="16:17" x14ac:dyDescent="0.45">
      <c r="P227" s="9">
        <f t="shared" si="9"/>
        <v>1105000</v>
      </c>
      <c r="Q227">
        <f t="shared" si="8"/>
        <v>0.23578743718020129</v>
      </c>
    </row>
    <row r="228" spans="16:17" x14ac:dyDescent="0.45">
      <c r="P228" s="9">
        <f t="shared" si="9"/>
        <v>1110000</v>
      </c>
      <c r="Q228">
        <f t="shared" si="8"/>
        <v>0.99657924975254963</v>
      </c>
    </row>
    <row r="229" spans="16:17" x14ac:dyDescent="0.45">
      <c r="P229" s="9">
        <f t="shared" si="9"/>
        <v>1115000</v>
      </c>
      <c r="Q229">
        <f t="shared" si="8"/>
        <v>7.2491211203861719E-2</v>
      </c>
    </row>
    <row r="230" spans="16:17" x14ac:dyDescent="0.45">
      <c r="P230" s="9">
        <f t="shared" si="9"/>
        <v>1120000</v>
      </c>
      <c r="Q230">
        <f t="shared" si="8"/>
        <v>-0.97415504955452326</v>
      </c>
    </row>
    <row r="231" spans="16:17" x14ac:dyDescent="0.45">
      <c r="P231" s="9">
        <f t="shared" si="9"/>
        <v>1125000</v>
      </c>
      <c r="Q231">
        <f t="shared" si="8"/>
        <v>-0.37383322897891125</v>
      </c>
    </row>
    <row r="232" spans="16:17" x14ac:dyDescent="0.45">
      <c r="P232" s="9">
        <f t="shared" si="9"/>
        <v>1130000</v>
      </c>
      <c r="Q232">
        <f t="shared" si="8"/>
        <v>0.85851467014738225</v>
      </c>
    </row>
    <row r="233" spans="16:17" x14ac:dyDescent="0.45">
      <c r="P233" s="9">
        <f t="shared" si="9"/>
        <v>1135000</v>
      </c>
      <c r="Q233">
        <f t="shared" si="8"/>
        <v>0.63940342040788201</v>
      </c>
    </row>
    <row r="234" spans="16:17" x14ac:dyDescent="0.45">
      <c r="P234" s="9">
        <f t="shared" si="9"/>
        <v>1140000</v>
      </c>
      <c r="Q234">
        <f t="shared" si="8"/>
        <v>-0.66072365426537183</v>
      </c>
    </row>
    <row r="235" spans="16:17" x14ac:dyDescent="0.45">
      <c r="P235" s="9">
        <f t="shared" si="9"/>
        <v>1145000</v>
      </c>
      <c r="Q235">
        <f t="shared" si="8"/>
        <v>-0.84378956947017003</v>
      </c>
    </row>
    <row r="236" spans="16:17" x14ac:dyDescent="0.45">
      <c r="P236" s="9">
        <f t="shared" si="9"/>
        <v>1150000</v>
      </c>
      <c r="Q236">
        <f t="shared" si="8"/>
        <v>0.39970847854159192</v>
      </c>
    </row>
    <row r="237" spans="16:17" x14ac:dyDescent="0.45">
      <c r="P237" s="9">
        <f t="shared" si="9"/>
        <v>1155000</v>
      </c>
      <c r="Q237">
        <f t="shared" si="8"/>
        <v>0.96743411609608876</v>
      </c>
    </row>
    <row r="238" spans="16:17" x14ac:dyDescent="0.45">
      <c r="P238" s="9">
        <f t="shared" si="9"/>
        <v>1160000</v>
      </c>
      <c r="Q238">
        <f t="shared" si="8"/>
        <v>-0.10044549289866823</v>
      </c>
    </row>
    <row r="239" spans="16:17" x14ac:dyDescent="0.45">
      <c r="P239" s="9">
        <f t="shared" si="9"/>
        <v>1165000</v>
      </c>
      <c r="Q239">
        <f t="shared" si="8"/>
        <v>-0.99850560468544181</v>
      </c>
    </row>
    <row r="240" spans="16:17" x14ac:dyDescent="0.45">
      <c r="P240" s="9">
        <f t="shared" si="9"/>
        <v>1170000</v>
      </c>
      <c r="Q240">
        <f t="shared" si="8"/>
        <v>-0.20842904797981249</v>
      </c>
    </row>
    <row r="241" spans="16:17" x14ac:dyDescent="0.45">
      <c r="P241" s="9">
        <f t="shared" si="9"/>
        <v>1175000</v>
      </c>
      <c r="Q241">
        <f t="shared" si="8"/>
        <v>0.93403082737982579</v>
      </c>
    </row>
    <row r="242" spans="16:17" x14ac:dyDescent="0.45">
      <c r="P242" s="9">
        <f t="shared" si="9"/>
        <v>1180000</v>
      </c>
      <c r="Q242">
        <f t="shared" si="8"/>
        <v>0.49735916676885672</v>
      </c>
    </row>
    <row r="243" spans="16:17" x14ac:dyDescent="0.45">
      <c r="P243" s="9">
        <f t="shared" si="9"/>
        <v>1185000</v>
      </c>
      <c r="Q243">
        <f t="shared" si="8"/>
        <v>-0.7801793281327789</v>
      </c>
    </row>
    <row r="244" spans="16:17" x14ac:dyDescent="0.45">
      <c r="P244" s="9">
        <f t="shared" si="9"/>
        <v>1190000</v>
      </c>
      <c r="Q244">
        <f t="shared" si="8"/>
        <v>-0.7386973532037826</v>
      </c>
    </row>
    <row r="245" spans="16:17" x14ac:dyDescent="0.45">
      <c r="P245" s="9">
        <f t="shared" si="9"/>
        <v>1195000</v>
      </c>
      <c r="Q245">
        <f t="shared" si="8"/>
        <v>0.55167304359284808</v>
      </c>
    </row>
    <row r="246" spans="16:17" x14ac:dyDescent="0.45">
      <c r="P246" s="9">
        <f t="shared" si="9"/>
        <v>1200000</v>
      </c>
      <c r="Q246">
        <f t="shared" si="8"/>
        <v>0.90935013397455788</v>
      </c>
    </row>
    <row r="247" spans="16:17" x14ac:dyDescent="0.45">
      <c r="P247" s="9">
        <f t="shared" si="9"/>
        <v>1205000</v>
      </c>
      <c r="Q247">
        <f t="shared" si="8"/>
        <v>-0.27037757182866073</v>
      </c>
    </row>
    <row r="248" spans="16:17" x14ac:dyDescent="0.45">
      <c r="P248" s="9">
        <f t="shared" si="9"/>
        <v>1210000</v>
      </c>
      <c r="Q248">
        <f t="shared" si="8"/>
        <v>-0.99298787017807666</v>
      </c>
    </row>
    <row r="249" spans="16:17" x14ac:dyDescent="0.45">
      <c r="P249" s="9">
        <f t="shared" si="9"/>
        <v>1215000</v>
      </c>
      <c r="Q249">
        <f t="shared" si="8"/>
        <v>-3.679013064585461E-2</v>
      </c>
    </row>
    <row r="250" spans="16:17" x14ac:dyDescent="0.45">
      <c r="P250" s="9">
        <f t="shared" si="9"/>
        <v>1220000</v>
      </c>
      <c r="Q250">
        <f t="shared" si="8"/>
        <v>0.98160732843772502</v>
      </c>
    </row>
    <row r="251" spans="16:17" x14ac:dyDescent="0.45">
      <c r="P251" s="9">
        <f t="shared" si="9"/>
        <v>1225000</v>
      </c>
      <c r="Q251">
        <f t="shared" si="8"/>
        <v>0.34043741261546268</v>
      </c>
    </row>
    <row r="252" spans="16:17" x14ac:dyDescent="0.45">
      <c r="P252" s="9">
        <f t="shared" si="9"/>
        <v>1230000</v>
      </c>
      <c r="Q252">
        <f t="shared" si="8"/>
        <v>-0.87629750441066312</v>
      </c>
    </row>
    <row r="253" spans="16:17" x14ac:dyDescent="0.45">
      <c r="P253" s="9">
        <f t="shared" si="9"/>
        <v>1235000</v>
      </c>
      <c r="Q253">
        <f t="shared" si="8"/>
        <v>-0.61150848931018953</v>
      </c>
    </row>
    <row r="254" spans="16:17" x14ac:dyDescent="0.45">
      <c r="P254" s="9">
        <f t="shared" si="9"/>
        <v>1240000</v>
      </c>
      <c r="Q254">
        <f t="shared" si="8"/>
        <v>0.68713541759545638</v>
      </c>
    </row>
    <row r="255" spans="16:17" x14ac:dyDescent="0.45">
      <c r="P255" s="9">
        <f t="shared" si="9"/>
        <v>1245000</v>
      </c>
      <c r="Q255">
        <f t="shared" si="8"/>
        <v>0.82406476904985204</v>
      </c>
    </row>
    <row r="256" spans="16:17" x14ac:dyDescent="0.45">
      <c r="P256" s="9">
        <f t="shared" si="9"/>
        <v>1250000</v>
      </c>
      <c r="Q256">
        <f t="shared" si="8"/>
        <v>-0.43222184875816433</v>
      </c>
    </row>
    <row r="257" spans="16:17" x14ac:dyDescent="0.45">
      <c r="P257" s="9">
        <f t="shared" si="9"/>
        <v>1255000</v>
      </c>
      <c r="Q257">
        <f t="shared" si="8"/>
        <v>-0.95776689797769443</v>
      </c>
    </row>
    <row r="258" spans="16:17" x14ac:dyDescent="0.45">
      <c r="P258" s="9">
        <f t="shared" si="9"/>
        <v>1260000</v>
      </c>
      <c r="Q258">
        <f t="shared" si="8"/>
        <v>0.135949289552388</v>
      </c>
    </row>
    <row r="259" spans="16:17" x14ac:dyDescent="0.45">
      <c r="P259" s="9">
        <f t="shared" si="9"/>
        <v>1265000</v>
      </c>
      <c r="Q259">
        <f t="shared" si="8"/>
        <v>0.99982101785063993</v>
      </c>
    </row>
    <row r="260" spans="16:17" x14ac:dyDescent="0.45">
      <c r="P260" s="9">
        <f t="shared" si="9"/>
        <v>1270000</v>
      </c>
      <c r="Q260">
        <f t="shared" si="8"/>
        <v>0.17333215704155341</v>
      </c>
    </row>
    <row r="261" spans="16:17" x14ac:dyDescent="0.45">
      <c r="P261" s="9">
        <f t="shared" si="9"/>
        <v>1275000</v>
      </c>
      <c r="Q261">
        <f t="shared" si="8"/>
        <v>-0.94620300091166387</v>
      </c>
    </row>
    <row r="262" spans="16:17" x14ac:dyDescent="0.45">
      <c r="P262" s="9">
        <f t="shared" si="9"/>
        <v>1280000</v>
      </c>
      <c r="Q262">
        <f t="shared" si="8"/>
        <v>-0.46602757719044741</v>
      </c>
    </row>
    <row r="263" spans="16:17" x14ac:dyDescent="0.45">
      <c r="P263" s="9">
        <f t="shared" si="9"/>
        <v>1285000</v>
      </c>
      <c r="Q263">
        <f t="shared" si="8"/>
        <v>0.80204351571102073</v>
      </c>
    </row>
    <row r="264" spans="16:17" x14ac:dyDescent="0.45">
      <c r="P264" s="9">
        <f t="shared" si="9"/>
        <v>1290000</v>
      </c>
      <c r="Q264">
        <f t="shared" ref="Q264:Q327" si="10">COS(P264)</f>
        <v>0.71412916171570051</v>
      </c>
    </row>
    <row r="265" spans="16:17" x14ac:dyDescent="0.45">
      <c r="P265" s="9">
        <f t="shared" ref="P265:P328" si="11">P264+5000</f>
        <v>1295000</v>
      </c>
      <c r="Q265">
        <f t="shared" si="10"/>
        <v>-0.58113707721149999</v>
      </c>
    </row>
    <row r="266" spans="16:17" x14ac:dyDescent="0.45">
      <c r="P266" s="9">
        <f t="shared" si="11"/>
        <v>1300000</v>
      </c>
      <c r="Q266">
        <f t="shared" si="10"/>
        <v>-0.89389625272538131</v>
      </c>
    </row>
    <row r="267" spans="16:17" x14ac:dyDescent="0.45">
      <c r="P267" s="9">
        <f t="shared" si="11"/>
        <v>1305000</v>
      </c>
      <c r="Q267">
        <f t="shared" si="10"/>
        <v>0.30462205981154605</v>
      </c>
    </row>
    <row r="268" spans="16:17" x14ac:dyDescent="0.45">
      <c r="P268" s="9">
        <f t="shared" si="11"/>
        <v>1310000</v>
      </c>
      <c r="Q268">
        <f t="shared" si="10"/>
        <v>0.98812706968247743</v>
      </c>
    </row>
    <row r="269" spans="16:17" x14ac:dyDescent="0.45">
      <c r="P269" s="9">
        <f t="shared" si="11"/>
        <v>1315000</v>
      </c>
      <c r="Q269">
        <f t="shared" si="10"/>
        <v>1.0420181321354541E-3</v>
      </c>
    </row>
    <row r="270" spans="16:17" x14ac:dyDescent="0.45">
      <c r="P270" s="9">
        <f t="shared" si="11"/>
        <v>1320000</v>
      </c>
      <c r="Q270">
        <f t="shared" si="10"/>
        <v>-0.98780473511505973</v>
      </c>
    </row>
    <row r="271" spans="16:17" x14ac:dyDescent="0.45">
      <c r="P271" s="9">
        <f t="shared" si="11"/>
        <v>1325000</v>
      </c>
      <c r="Q271">
        <f t="shared" si="10"/>
        <v>-0.30660638612821806</v>
      </c>
    </row>
    <row r="272" spans="16:17" x14ac:dyDescent="0.45">
      <c r="P272" s="9">
        <f t="shared" si="11"/>
        <v>1330000</v>
      </c>
      <c r="Q272">
        <f t="shared" si="10"/>
        <v>0.89296009298047929</v>
      </c>
    </row>
    <row r="273" spans="16:17" x14ac:dyDescent="0.45">
      <c r="P273" s="9">
        <f t="shared" si="11"/>
        <v>1335000</v>
      </c>
      <c r="Q273">
        <f t="shared" si="10"/>
        <v>0.58283181485682289</v>
      </c>
    </row>
    <row r="274" spans="16:17" x14ac:dyDescent="0.45">
      <c r="P274" s="9">
        <f t="shared" si="11"/>
        <v>1340000</v>
      </c>
      <c r="Q274">
        <f t="shared" si="10"/>
        <v>-0.71266875722980527</v>
      </c>
    </row>
    <row r="275" spans="16:17" x14ac:dyDescent="0.45">
      <c r="P275" s="9">
        <f t="shared" si="11"/>
        <v>1345000</v>
      </c>
      <c r="Q275">
        <f t="shared" si="10"/>
        <v>-0.80328649648791839</v>
      </c>
    </row>
    <row r="276" spans="16:17" x14ac:dyDescent="0.45">
      <c r="P276" s="9">
        <f t="shared" si="11"/>
        <v>1350000</v>
      </c>
      <c r="Q276">
        <f t="shared" si="10"/>
        <v>0.4641826729932001</v>
      </c>
    </row>
    <row r="277" spans="16:17" x14ac:dyDescent="0.45">
      <c r="P277" s="9">
        <f t="shared" si="11"/>
        <v>1355000</v>
      </c>
      <c r="Q277">
        <f t="shared" si="10"/>
        <v>0.94687528490507267</v>
      </c>
    </row>
    <row r="278" spans="16:17" x14ac:dyDescent="0.45">
      <c r="P278" s="9">
        <f t="shared" si="11"/>
        <v>1360000</v>
      </c>
      <c r="Q278">
        <f t="shared" si="10"/>
        <v>-0.17127929065678338</v>
      </c>
    </row>
    <row r="279" spans="16:17" x14ac:dyDescent="0.45">
      <c r="P279" s="9">
        <f t="shared" si="11"/>
        <v>1365000</v>
      </c>
      <c r="Q279">
        <f t="shared" si="10"/>
        <v>-0.9998582747003798</v>
      </c>
    </row>
    <row r="280" spans="16:17" x14ac:dyDescent="0.45">
      <c r="P280" s="9">
        <f t="shared" si="11"/>
        <v>1370000</v>
      </c>
      <c r="Q280">
        <f t="shared" si="10"/>
        <v>-0.13801368085229523</v>
      </c>
    </row>
    <row r="281" spans="16:17" x14ac:dyDescent="0.45">
      <c r="P281" s="9">
        <f t="shared" si="11"/>
        <v>1375000</v>
      </c>
      <c r="Q281">
        <f t="shared" si="10"/>
        <v>0.95716556260325425</v>
      </c>
    </row>
    <row r="282" spans="16:17" x14ac:dyDescent="0.45">
      <c r="P282" s="9">
        <f t="shared" si="11"/>
        <v>1380000</v>
      </c>
      <c r="Q282">
        <f t="shared" si="10"/>
        <v>0.43410022489018202</v>
      </c>
    </row>
    <row r="283" spans="16:17" x14ac:dyDescent="0.45">
      <c r="P283" s="9">
        <f t="shared" si="11"/>
        <v>1385000</v>
      </c>
      <c r="Q283">
        <f t="shared" si="10"/>
        <v>-0.82288238279031767</v>
      </c>
    </row>
    <row r="284" spans="16:17" x14ac:dyDescent="0.45">
      <c r="P284" s="9">
        <f t="shared" si="11"/>
        <v>1390000</v>
      </c>
      <c r="Q284">
        <f t="shared" si="10"/>
        <v>-0.68864803813096964</v>
      </c>
    </row>
    <row r="285" spans="16:17" x14ac:dyDescent="0.45">
      <c r="P285" s="9">
        <f t="shared" si="11"/>
        <v>1395000</v>
      </c>
      <c r="Q285">
        <f t="shared" si="10"/>
        <v>0.60985819383588691</v>
      </c>
    </row>
    <row r="286" spans="16:17" x14ac:dyDescent="0.45">
      <c r="P286" s="9">
        <f t="shared" si="11"/>
        <v>1400000</v>
      </c>
      <c r="Q286">
        <f t="shared" si="10"/>
        <v>0.87729962780470105</v>
      </c>
    </row>
    <row r="287" spans="16:17" x14ac:dyDescent="0.45">
      <c r="P287" s="9">
        <f t="shared" si="11"/>
        <v>1405000</v>
      </c>
      <c r="Q287">
        <f t="shared" si="10"/>
        <v>-0.33847712348485542</v>
      </c>
    </row>
    <row r="288" spans="16:17" x14ac:dyDescent="0.45">
      <c r="P288" s="9">
        <f t="shared" si="11"/>
        <v>1410000</v>
      </c>
      <c r="Q288">
        <f t="shared" si="10"/>
        <v>-0.98200306224079403</v>
      </c>
    </row>
    <row r="289" spans="16:17" x14ac:dyDescent="0.45">
      <c r="P289" s="9">
        <f t="shared" si="11"/>
        <v>1415000</v>
      </c>
      <c r="Q289">
        <f t="shared" si="10"/>
        <v>3.470742648206232E-2</v>
      </c>
    </row>
    <row r="290" spans="16:17" x14ac:dyDescent="0.45">
      <c r="P290" s="9">
        <f t="shared" si="11"/>
        <v>1420000</v>
      </c>
      <c r="Q290">
        <f t="shared" si="10"/>
        <v>0.9927393469140261</v>
      </c>
    </row>
    <row r="291" spans="16:17" x14ac:dyDescent="0.45">
      <c r="P291" s="9">
        <f t="shared" si="11"/>
        <v>1425000</v>
      </c>
      <c r="Q291">
        <f t="shared" si="10"/>
        <v>0.27238339859815397</v>
      </c>
    </row>
    <row r="292" spans="16:17" x14ac:dyDescent="0.45">
      <c r="P292" s="9">
        <f t="shared" si="11"/>
        <v>1430000</v>
      </c>
      <c r="Q292">
        <f t="shared" si="10"/>
        <v>-0.90848113465148295</v>
      </c>
    </row>
    <row r="293" spans="16:17" x14ac:dyDescent="0.45">
      <c r="P293" s="9">
        <f t="shared" si="11"/>
        <v>1435000</v>
      </c>
      <c r="Q293">
        <f t="shared" si="10"/>
        <v>-0.55341005688179701</v>
      </c>
    </row>
    <row r="294" spans="16:17" x14ac:dyDescent="0.45">
      <c r="P294" s="9">
        <f t="shared" si="11"/>
        <v>1440000</v>
      </c>
      <c r="Q294">
        <f t="shared" si="10"/>
        <v>0.73729103172687471</v>
      </c>
    </row>
    <row r="295" spans="16:17" x14ac:dyDescent="0.45">
      <c r="P295" s="9">
        <f t="shared" si="11"/>
        <v>1445000</v>
      </c>
      <c r="Q295">
        <f t="shared" si="10"/>
        <v>0.78148131441890567</v>
      </c>
    </row>
    <row r="296" spans="16:17" x14ac:dyDescent="0.45">
      <c r="P296" s="9">
        <f t="shared" si="11"/>
        <v>1450000</v>
      </c>
      <c r="Q296">
        <f t="shared" si="10"/>
        <v>-0.49555009300445996</v>
      </c>
    </row>
    <row r="297" spans="16:17" x14ac:dyDescent="0.45">
      <c r="P297" s="9">
        <f t="shared" si="11"/>
        <v>1455000</v>
      </c>
      <c r="Q297">
        <f t="shared" si="10"/>
        <v>-0.93477320055434721</v>
      </c>
    </row>
    <row r="298" spans="16:17" x14ac:dyDescent="0.45">
      <c r="P298" s="9">
        <f t="shared" si="11"/>
        <v>1460000</v>
      </c>
      <c r="Q298">
        <f t="shared" si="10"/>
        <v>0.20639033086402658</v>
      </c>
    </row>
    <row r="299" spans="16:17" x14ac:dyDescent="0.45">
      <c r="P299" s="9">
        <f t="shared" si="11"/>
        <v>1465000</v>
      </c>
      <c r="Q299">
        <f t="shared" si="10"/>
        <v>0.99861732760605926</v>
      </c>
    </row>
    <row r="300" spans="16:17" x14ac:dyDescent="0.45">
      <c r="P300" s="9">
        <f t="shared" si="11"/>
        <v>1470000</v>
      </c>
      <c r="Q300">
        <f t="shared" si="10"/>
        <v>0.10251877002658563</v>
      </c>
    </row>
    <row r="301" spans="16:17" x14ac:dyDescent="0.45">
      <c r="P301" s="9">
        <f t="shared" si="11"/>
        <v>1475000</v>
      </c>
      <c r="Q301">
        <f t="shared" si="10"/>
        <v>-0.96690449807881418</v>
      </c>
    </row>
    <row r="302" spans="16:17" x14ac:dyDescent="0.45">
      <c r="P302" s="9">
        <f t="shared" si="11"/>
        <v>1480000</v>
      </c>
      <c r="Q302">
        <f t="shared" si="10"/>
        <v>-0.4016179253202764</v>
      </c>
    </row>
    <row r="303" spans="16:17" x14ac:dyDescent="0.45">
      <c r="P303" s="9">
        <f t="shared" si="11"/>
        <v>1485000</v>
      </c>
      <c r="Q303">
        <f t="shared" si="10"/>
        <v>0.84266928927300333</v>
      </c>
    </row>
    <row r="304" spans="16:17" x14ac:dyDescent="0.45">
      <c r="P304" s="9">
        <f t="shared" si="11"/>
        <v>1490000</v>
      </c>
      <c r="Q304">
        <f t="shared" si="10"/>
        <v>0.66228655713891305</v>
      </c>
    </row>
    <row r="305" spans="16:17" x14ac:dyDescent="0.45">
      <c r="P305" s="9">
        <f t="shared" si="11"/>
        <v>1495000</v>
      </c>
      <c r="Q305">
        <f t="shared" si="10"/>
        <v>-0.63779967681778349</v>
      </c>
    </row>
    <row r="306" spans="16:17" x14ac:dyDescent="0.45">
      <c r="P306" s="9">
        <f t="shared" si="11"/>
        <v>1500000</v>
      </c>
      <c r="Q306">
        <f t="shared" si="10"/>
        <v>-0.85958147609091728</v>
      </c>
    </row>
    <row r="307" spans="16:17" x14ac:dyDescent="0.45">
      <c r="P307" s="9">
        <f t="shared" si="11"/>
        <v>1505000</v>
      </c>
      <c r="Q307">
        <f t="shared" si="10"/>
        <v>0.37189948303883125</v>
      </c>
    </row>
    <row r="308" spans="16:17" x14ac:dyDescent="0.45">
      <c r="P308" s="9">
        <f t="shared" si="11"/>
        <v>1510000</v>
      </c>
      <c r="Q308">
        <f t="shared" si="10"/>
        <v>0.97462367669303684</v>
      </c>
    </row>
    <row r="309" spans="16:17" x14ac:dyDescent="0.45">
      <c r="P309" s="9">
        <f t="shared" si="11"/>
        <v>1515000</v>
      </c>
      <c r="Q309">
        <f t="shared" si="10"/>
        <v>-7.041250163856784E-2</v>
      </c>
    </row>
    <row r="310" spans="16:17" x14ac:dyDescent="0.45">
      <c r="P310" s="9">
        <f t="shared" si="11"/>
        <v>1520000</v>
      </c>
      <c r="Q310">
        <f t="shared" si="10"/>
        <v>-0.99640485550030988</v>
      </c>
    </row>
    <row r="311" spans="16:17" x14ac:dyDescent="0.45">
      <c r="P311" s="9">
        <f t="shared" si="11"/>
        <v>1525000</v>
      </c>
      <c r="Q311">
        <f t="shared" si="10"/>
        <v>-0.23781220018341315</v>
      </c>
    </row>
    <row r="312" spans="16:17" x14ac:dyDescent="0.45">
      <c r="P312" s="9">
        <f t="shared" si="11"/>
        <v>1530000</v>
      </c>
      <c r="Q312">
        <f t="shared" si="10"/>
        <v>0.9228407875548994</v>
      </c>
    </row>
    <row r="313" spans="16:17" x14ac:dyDescent="0.45">
      <c r="P313" s="9">
        <f t="shared" si="11"/>
        <v>1535000</v>
      </c>
      <c r="Q313">
        <f t="shared" si="10"/>
        <v>0.52328082772281648</v>
      </c>
    </row>
    <row r="314" spans="16:17" x14ac:dyDescent="0.45">
      <c r="P314" s="9">
        <f t="shared" si="11"/>
        <v>1540000</v>
      </c>
      <c r="Q314">
        <f t="shared" si="10"/>
        <v>-0.7609707643372392</v>
      </c>
    </row>
    <row r="315" spans="16:17" x14ac:dyDescent="0.45">
      <c r="P315" s="9">
        <f t="shared" si="11"/>
        <v>1545000</v>
      </c>
      <c r="Q315">
        <f t="shared" si="10"/>
        <v>-0.75867709826318774</v>
      </c>
    </row>
    <row r="316" spans="16:17" x14ac:dyDescent="0.45">
      <c r="P316" s="9">
        <f t="shared" si="11"/>
        <v>1550000</v>
      </c>
      <c r="Q316">
        <f t="shared" si="10"/>
        <v>0.52628400914883666</v>
      </c>
    </row>
    <row r="317" spans="16:17" x14ac:dyDescent="0.45">
      <c r="P317" s="9">
        <f t="shared" si="11"/>
        <v>1555000</v>
      </c>
      <c r="Q317">
        <f t="shared" si="10"/>
        <v>0.92147611605011626</v>
      </c>
    </row>
    <row r="318" spans="16:17" x14ac:dyDescent="0.45">
      <c r="P318" s="9">
        <f t="shared" si="11"/>
        <v>1560000</v>
      </c>
      <c r="Q318">
        <f t="shared" si="10"/>
        <v>-0.24123752474264348</v>
      </c>
    </row>
    <row r="319" spans="16:17" x14ac:dyDescent="0.45">
      <c r="P319" s="9">
        <f t="shared" si="11"/>
        <v>1565000</v>
      </c>
      <c r="Q319">
        <f t="shared" si="10"/>
        <v>-0.99609976297598268</v>
      </c>
    </row>
    <row r="320" spans="16:17" x14ac:dyDescent="0.45">
      <c r="P320" s="9">
        <f t="shared" si="11"/>
        <v>1570000</v>
      </c>
      <c r="Q320">
        <f t="shared" si="10"/>
        <v>-6.6892800730386809E-2</v>
      </c>
    </row>
    <row r="321" spans="16:17" x14ac:dyDescent="0.45">
      <c r="P321" s="9">
        <f t="shared" si="11"/>
        <v>1575000</v>
      </c>
      <c r="Q321">
        <f t="shared" si="10"/>
        <v>0.97540735722811223</v>
      </c>
    </row>
    <row r="322" spans="16:17" x14ac:dyDescent="0.45">
      <c r="P322" s="9">
        <f t="shared" si="11"/>
        <v>1580000</v>
      </c>
      <c r="Q322">
        <f t="shared" si="10"/>
        <v>0.3686222033692802</v>
      </c>
    </row>
    <row r="323" spans="16:17" x14ac:dyDescent="0.45">
      <c r="P323" s="9">
        <f t="shared" si="11"/>
        <v>1585000</v>
      </c>
      <c r="Q323">
        <f t="shared" si="10"/>
        <v>-0.86137893987218861</v>
      </c>
    </row>
    <row r="324" spans="16:17" x14ac:dyDescent="0.45">
      <c r="P324" s="9">
        <f t="shared" si="11"/>
        <v>1590000</v>
      </c>
      <c r="Q324">
        <f t="shared" si="10"/>
        <v>-0.63507841886466609</v>
      </c>
    </row>
    <row r="325" spans="16:17" x14ac:dyDescent="0.45">
      <c r="P325" s="9">
        <f t="shared" si="11"/>
        <v>1595000</v>
      </c>
      <c r="Q325">
        <f t="shared" si="10"/>
        <v>0.66492580618101504</v>
      </c>
    </row>
    <row r="326" spans="16:17" x14ac:dyDescent="0.45">
      <c r="P326" s="9">
        <f t="shared" si="11"/>
        <v>1600000</v>
      </c>
      <c r="Q326">
        <f t="shared" si="10"/>
        <v>0.84076444820559793</v>
      </c>
    </row>
    <row r="327" spans="16:17" x14ac:dyDescent="0.45">
      <c r="P327" s="9">
        <f t="shared" si="11"/>
        <v>1605000</v>
      </c>
      <c r="Q327">
        <f t="shared" si="10"/>
        <v>-0.40484641182622494</v>
      </c>
    </row>
    <row r="328" spans="16:17" x14ac:dyDescent="0.45">
      <c r="P328" s="9">
        <f t="shared" si="11"/>
        <v>1610000</v>
      </c>
      <c r="Q328">
        <f t="shared" ref="Q328:Q391" si="12">COS(P328)</f>
        <v>-0.96599834673591101</v>
      </c>
    </row>
    <row r="329" spans="16:17" x14ac:dyDescent="0.45">
      <c r="P329" s="9">
        <f t="shared" ref="P329:P392" si="13">P328+5000</f>
        <v>1615000</v>
      </c>
      <c r="Q329">
        <f t="shared" si="12"/>
        <v>0.10602756250046491</v>
      </c>
    </row>
    <row r="330" spans="16:17" x14ac:dyDescent="0.45">
      <c r="P330" s="9">
        <f t="shared" si="13"/>
        <v>1620000</v>
      </c>
      <c r="Q330">
        <f t="shared" si="12"/>
        <v>0.99879657494226393</v>
      </c>
    </row>
    <row r="331" spans="16:17" x14ac:dyDescent="0.45">
      <c r="P331" s="9">
        <f t="shared" si="13"/>
        <v>1625000</v>
      </c>
      <c r="Q331">
        <f t="shared" si="12"/>
        <v>0.20293698618975317</v>
      </c>
    </row>
    <row r="332" spans="16:17" x14ac:dyDescent="0.45">
      <c r="P332" s="9">
        <f t="shared" si="13"/>
        <v>1630000</v>
      </c>
      <c r="Q332">
        <f t="shared" si="12"/>
        <v>-0.93602069452407721</v>
      </c>
    </row>
    <row r="333" spans="16:17" x14ac:dyDescent="0.45">
      <c r="P333" s="9">
        <f t="shared" si="13"/>
        <v>1635000</v>
      </c>
      <c r="Q333">
        <f t="shared" si="12"/>
        <v>-0.49248264413822301</v>
      </c>
    </row>
    <row r="334" spans="16:17" x14ac:dyDescent="0.45">
      <c r="P334" s="9">
        <f t="shared" si="13"/>
        <v>1640000</v>
      </c>
      <c r="Q334">
        <f t="shared" si="12"/>
        <v>0.78367768324299925</v>
      </c>
    </row>
    <row r="335" spans="16:17" x14ac:dyDescent="0.45">
      <c r="P335" s="9">
        <f t="shared" si="13"/>
        <v>1645000</v>
      </c>
      <c r="Q335">
        <f t="shared" si="12"/>
        <v>0.73490300059145308</v>
      </c>
    </row>
    <row r="336" spans="16:17" x14ac:dyDescent="0.45">
      <c r="P336" s="9">
        <f t="shared" si="13"/>
        <v>1650000</v>
      </c>
      <c r="Q336">
        <f t="shared" si="12"/>
        <v>-0.55634513164514188</v>
      </c>
    </row>
    <row r="337" spans="16:17" x14ac:dyDescent="0.45">
      <c r="P337" s="9">
        <f t="shared" si="13"/>
        <v>1655000</v>
      </c>
      <c r="Q337">
        <f t="shared" si="12"/>
        <v>-0.90700103018739708</v>
      </c>
    </row>
    <row r="338" spans="16:17" x14ac:dyDescent="0.45">
      <c r="P338" s="9">
        <f t="shared" si="13"/>
        <v>1660000</v>
      </c>
      <c r="Q338">
        <f t="shared" si="12"/>
        <v>0.27577632415838127</v>
      </c>
    </row>
    <row r="339" spans="16:17" x14ac:dyDescent="0.45">
      <c r="P339" s="9">
        <f t="shared" si="13"/>
        <v>1665000</v>
      </c>
      <c r="Q339">
        <f t="shared" si="12"/>
        <v>0.99230879922732074</v>
      </c>
    </row>
    <row r="340" spans="16:17" x14ac:dyDescent="0.45">
      <c r="P340" s="9">
        <f t="shared" si="13"/>
        <v>1670000</v>
      </c>
      <c r="Q340">
        <f t="shared" si="12"/>
        <v>3.118131667285998E-2</v>
      </c>
    </row>
    <row r="341" spans="16:17" x14ac:dyDescent="0.45">
      <c r="P341" s="9">
        <f t="shared" si="13"/>
        <v>1675000</v>
      </c>
      <c r="Q341">
        <f t="shared" si="12"/>
        <v>-0.98266327012250398</v>
      </c>
    </row>
    <row r="342" spans="16:17" x14ac:dyDescent="0.45">
      <c r="P342" s="9">
        <f t="shared" si="13"/>
        <v>1680000</v>
      </c>
      <c r="Q342">
        <f t="shared" si="12"/>
        <v>-0.33515524027727717</v>
      </c>
    </row>
    <row r="343" spans="16:17" x14ac:dyDescent="0.45">
      <c r="P343" s="9">
        <f t="shared" si="13"/>
        <v>1685000</v>
      </c>
      <c r="Q343">
        <f t="shared" si="12"/>
        <v>0.87898741644888045</v>
      </c>
    </row>
    <row r="344" spans="16:17" x14ac:dyDescent="0.45">
      <c r="P344" s="9">
        <f t="shared" si="13"/>
        <v>1690000</v>
      </c>
      <c r="Q344">
        <f t="shared" si="12"/>
        <v>0.60705840578743897</v>
      </c>
    </row>
    <row r="345" spans="16:17" x14ac:dyDescent="0.45">
      <c r="P345" s="9">
        <f t="shared" si="13"/>
        <v>1695000</v>
      </c>
      <c r="Q345">
        <f t="shared" si="12"/>
        <v>-0.69120190428534367</v>
      </c>
    </row>
    <row r="346" spans="16:17" x14ac:dyDescent="0.45">
      <c r="P346" s="9">
        <f t="shared" si="13"/>
        <v>1700000</v>
      </c>
      <c r="Q346">
        <f t="shared" si="12"/>
        <v>-0.82087259955726166</v>
      </c>
    </row>
    <row r="347" spans="16:17" x14ac:dyDescent="0.45">
      <c r="P347" s="9">
        <f t="shared" si="13"/>
        <v>1705000</v>
      </c>
      <c r="Q347">
        <f t="shared" si="12"/>
        <v>0.43727579098340713</v>
      </c>
    </row>
    <row r="348" spans="16:17" x14ac:dyDescent="0.45">
      <c r="P348" s="9">
        <f t="shared" si="13"/>
        <v>1710000</v>
      </c>
      <c r="Q348">
        <f t="shared" si="12"/>
        <v>0.95613809886291978</v>
      </c>
    </row>
    <row r="349" spans="16:17" x14ac:dyDescent="0.45">
      <c r="P349" s="9">
        <f t="shared" si="13"/>
        <v>1715000</v>
      </c>
      <c r="Q349">
        <f t="shared" si="12"/>
        <v>-0.14150707930377243</v>
      </c>
    </row>
    <row r="350" spans="16:17" x14ac:dyDescent="0.45">
      <c r="P350" s="9">
        <f t="shared" si="13"/>
        <v>1720000</v>
      </c>
      <c r="Q350">
        <f t="shared" si="12"/>
        <v>-0.99991144770133389</v>
      </c>
    </row>
    <row r="351" spans="16:17" x14ac:dyDescent="0.45">
      <c r="P351" s="9">
        <f t="shared" si="13"/>
        <v>1725000</v>
      </c>
      <c r="Q351">
        <f t="shared" si="12"/>
        <v>-0.167802340571925</v>
      </c>
    </row>
    <row r="352" spans="16:17" x14ac:dyDescent="0.45">
      <c r="P352" s="9">
        <f t="shared" si="13"/>
        <v>1730000</v>
      </c>
      <c r="Q352">
        <f t="shared" si="12"/>
        <v>0.94800400656201689</v>
      </c>
    </row>
    <row r="353" spans="16:17" x14ac:dyDescent="0.45">
      <c r="P353" s="9">
        <f t="shared" si="13"/>
        <v>1735000</v>
      </c>
      <c r="Q353">
        <f t="shared" si="12"/>
        <v>0.4610548780677442</v>
      </c>
    </row>
    <row r="354" spans="16:17" x14ac:dyDescent="0.45">
      <c r="P354" s="9">
        <f t="shared" si="13"/>
        <v>1740000</v>
      </c>
      <c r="Q354">
        <f t="shared" si="12"/>
        <v>-0.80538276025682354</v>
      </c>
    </row>
    <row r="355" spans="16:17" x14ac:dyDescent="0.45">
      <c r="P355" s="9">
        <f t="shared" si="13"/>
        <v>1745000</v>
      </c>
      <c r="Q355">
        <f t="shared" si="12"/>
        <v>-0.71018941385649137</v>
      </c>
    </row>
    <row r="356" spans="16:17" x14ac:dyDescent="0.45">
      <c r="P356" s="9">
        <f t="shared" si="13"/>
        <v>1750000</v>
      </c>
      <c r="Q356">
        <f t="shared" si="12"/>
        <v>0.58569503080157859</v>
      </c>
    </row>
    <row r="357" spans="16:17" x14ac:dyDescent="0.45">
      <c r="P357" s="9">
        <f t="shared" si="13"/>
        <v>1755000</v>
      </c>
      <c r="Q357">
        <f t="shared" si="12"/>
        <v>0.89136644770061879</v>
      </c>
    </row>
    <row r="358" spans="16:17" x14ac:dyDescent="0.45">
      <c r="P358" s="9">
        <f t="shared" si="13"/>
        <v>1760000</v>
      </c>
      <c r="Q358">
        <f t="shared" si="12"/>
        <v>-0.30996257522388071</v>
      </c>
    </row>
    <row r="359" spans="16:17" x14ac:dyDescent="0.45">
      <c r="P359" s="9">
        <f t="shared" si="13"/>
        <v>1765000</v>
      </c>
      <c r="Q359">
        <f t="shared" si="12"/>
        <v>-0.98724928267173395</v>
      </c>
    </row>
    <row r="360" spans="16:17" x14ac:dyDescent="0.45">
      <c r="P360" s="9">
        <f t="shared" si="13"/>
        <v>1770000</v>
      </c>
      <c r="Q360">
        <f t="shared" si="12"/>
        <v>4.5700291160349253E-3</v>
      </c>
    </row>
    <row r="361" spans="16:17" x14ac:dyDescent="0.45">
      <c r="P361" s="9">
        <f t="shared" si="13"/>
        <v>1775000</v>
      </c>
      <c r="Q361">
        <f t="shared" si="12"/>
        <v>0.98866296091088735</v>
      </c>
    </row>
    <row r="362" spans="16:17" x14ac:dyDescent="0.45">
      <c r="P362" s="9">
        <f t="shared" si="13"/>
        <v>1780000</v>
      </c>
      <c r="Q362">
        <f t="shared" si="12"/>
        <v>0.30125981971201538</v>
      </c>
    </row>
    <row r="363" spans="16:17" x14ac:dyDescent="0.45">
      <c r="P363" s="9">
        <f t="shared" si="13"/>
        <v>1785000</v>
      </c>
      <c r="Q363">
        <f t="shared" si="12"/>
        <v>-0.89547220858857413</v>
      </c>
    </row>
    <row r="364" spans="16:17" x14ac:dyDescent="0.45">
      <c r="P364" s="9">
        <f t="shared" si="13"/>
        <v>1790000</v>
      </c>
      <c r="Q364">
        <f t="shared" si="12"/>
        <v>-0.57826233827511186</v>
      </c>
    </row>
    <row r="365" spans="16:17" x14ac:dyDescent="0.45">
      <c r="P365" s="9">
        <f t="shared" si="13"/>
        <v>1795000</v>
      </c>
      <c r="Q365">
        <f t="shared" si="12"/>
        <v>0.71659438015784704</v>
      </c>
    </row>
    <row r="366" spans="16:17" x14ac:dyDescent="0.45">
      <c r="P366" s="9">
        <f t="shared" si="13"/>
        <v>1800000</v>
      </c>
      <c r="Q366">
        <f t="shared" si="12"/>
        <v>0.79993135958930095</v>
      </c>
    </row>
    <row r="367" spans="16:17" x14ac:dyDescent="0.45">
      <c r="P367" s="9">
        <f t="shared" si="13"/>
        <v>1805000</v>
      </c>
      <c r="Q367">
        <f t="shared" si="12"/>
        <v>-0.4691461632744966</v>
      </c>
    </row>
    <row r="368" spans="16:17" x14ac:dyDescent="0.45">
      <c r="P368" s="9">
        <f t="shared" si="13"/>
        <v>1810000</v>
      </c>
      <c r="Q368">
        <f t="shared" si="12"/>
        <v>-0.94505553826825872</v>
      </c>
    </row>
    <row r="369" spans="16:17" x14ac:dyDescent="0.45">
      <c r="P369" s="9">
        <f t="shared" si="13"/>
        <v>1815000</v>
      </c>
      <c r="Q369">
        <f t="shared" si="12"/>
        <v>0.17680569556201745</v>
      </c>
    </row>
    <row r="370" spans="16:17" x14ac:dyDescent="0.45">
      <c r="P370" s="9">
        <f t="shared" si="13"/>
        <v>1820000</v>
      </c>
      <c r="Q370">
        <f t="shared" si="12"/>
        <v>0.99974804854077004</v>
      </c>
    </row>
    <row r="371" spans="16:17" x14ac:dyDescent="0.45">
      <c r="P371" s="9">
        <f t="shared" si="13"/>
        <v>1825000</v>
      </c>
      <c r="Q371">
        <f t="shared" si="12"/>
        <v>0.1324531789382086</v>
      </c>
    </row>
    <row r="372" spans="16:17" x14ac:dyDescent="0.45">
      <c r="P372" s="9">
        <f t="shared" si="13"/>
        <v>1830000</v>
      </c>
      <c r="Q372">
        <f t="shared" si="12"/>
        <v>-0.95877540438087794</v>
      </c>
    </row>
    <row r="373" spans="16:17" x14ac:dyDescent="0.45">
      <c r="P373" s="9">
        <f t="shared" si="13"/>
        <v>1835000</v>
      </c>
      <c r="Q373">
        <f t="shared" si="12"/>
        <v>-0.42903770629999188</v>
      </c>
    </row>
    <row r="374" spans="16:17" x14ac:dyDescent="0.45">
      <c r="P374" s="9">
        <f t="shared" si="13"/>
        <v>1840000</v>
      </c>
      <c r="Q374">
        <f t="shared" si="12"/>
        <v>0.82605824793115157</v>
      </c>
    </row>
    <row r="375" spans="16:17" x14ac:dyDescent="0.45">
      <c r="P375" s="9">
        <f t="shared" si="13"/>
        <v>1845000</v>
      </c>
      <c r="Q375">
        <f t="shared" si="12"/>
        <v>0.684567931539935</v>
      </c>
    </row>
    <row r="376" spans="16:17" x14ac:dyDescent="0.45">
      <c r="P376" s="9">
        <f t="shared" si="13"/>
        <v>1850000</v>
      </c>
      <c r="Q376">
        <f t="shared" si="12"/>
        <v>-0.61429618614368653</v>
      </c>
    </row>
    <row r="377" spans="16:17" x14ac:dyDescent="0.45">
      <c r="P377" s="9">
        <f t="shared" si="13"/>
        <v>1855000</v>
      </c>
      <c r="Q377">
        <f t="shared" si="12"/>
        <v>-0.87459235560744608</v>
      </c>
    </row>
    <row r="378" spans="16:17" x14ac:dyDescent="0.45">
      <c r="P378" s="9">
        <f t="shared" si="13"/>
        <v>1860000</v>
      </c>
      <c r="Q378">
        <f t="shared" si="12"/>
        <v>0.34375257474434889</v>
      </c>
    </row>
    <row r="379" spans="16:17" x14ac:dyDescent="0.45">
      <c r="P379" s="9">
        <f t="shared" si="13"/>
        <v>1865000</v>
      </c>
      <c r="Q379">
        <f t="shared" si="12"/>
        <v>0.98092768131991914</v>
      </c>
    </row>
    <row r="380" spans="16:17" x14ac:dyDescent="0.45">
      <c r="P380" s="9">
        <f t="shared" si="13"/>
        <v>1870000</v>
      </c>
      <c r="Q380">
        <f t="shared" si="12"/>
        <v>-4.0315532647693587E-2</v>
      </c>
    </row>
    <row r="381" spans="16:17" x14ac:dyDescent="0.45">
      <c r="P381" s="9">
        <f t="shared" si="13"/>
        <v>1875000</v>
      </c>
      <c r="Q381">
        <f t="shared" si="12"/>
        <v>-0.99339875967781244</v>
      </c>
    </row>
    <row r="382" spans="16:17" x14ac:dyDescent="0.45">
      <c r="P382" s="9">
        <f t="shared" si="13"/>
        <v>1880000</v>
      </c>
      <c r="Q382">
        <f t="shared" si="12"/>
        <v>-0.26697927307490282</v>
      </c>
    </row>
    <row r="383" spans="16:17" x14ac:dyDescent="0.45">
      <c r="P383" s="9">
        <f t="shared" si="13"/>
        <v>1885000</v>
      </c>
      <c r="Q383">
        <f t="shared" si="12"/>
        <v>0.91081224237823311</v>
      </c>
    </row>
    <row r="384" spans="16:17" x14ac:dyDescent="0.45">
      <c r="P384" s="9">
        <f t="shared" si="13"/>
        <v>1890000</v>
      </c>
      <c r="Q384">
        <f t="shared" si="12"/>
        <v>0.54872702879201007</v>
      </c>
    </row>
    <row r="385" spans="16:17" x14ac:dyDescent="0.45">
      <c r="P385" s="9">
        <f t="shared" si="13"/>
        <v>1895000</v>
      </c>
      <c r="Q385">
        <f t="shared" si="12"/>
        <v>-0.74107077243511899</v>
      </c>
    </row>
    <row r="386" spans="16:17" x14ac:dyDescent="0.45">
      <c r="P386" s="9">
        <f t="shared" si="13"/>
        <v>1900000</v>
      </c>
      <c r="Q386">
        <f t="shared" si="12"/>
        <v>-0.77796749927135989</v>
      </c>
    </row>
    <row r="387" spans="16:17" x14ac:dyDescent="0.45">
      <c r="P387" s="9">
        <f t="shared" si="13"/>
        <v>1905000</v>
      </c>
      <c r="Q387">
        <f t="shared" si="12"/>
        <v>0.50041678608967355</v>
      </c>
    </row>
    <row r="388" spans="16:17" x14ac:dyDescent="0.45">
      <c r="P388" s="9">
        <f t="shared" si="13"/>
        <v>1910000</v>
      </c>
      <c r="Q388">
        <f t="shared" si="12"/>
        <v>0.9327648327325232</v>
      </c>
    </row>
    <row r="389" spans="16:17" x14ac:dyDescent="0.45">
      <c r="P389" s="9">
        <f t="shared" si="13"/>
        <v>1915000</v>
      </c>
      <c r="Q389">
        <f t="shared" si="12"/>
        <v>-0.2118782860492926</v>
      </c>
    </row>
    <row r="390" spans="16:17" x14ac:dyDescent="0.45">
      <c r="P390" s="9">
        <f t="shared" si="13"/>
        <v>1920000</v>
      </c>
      <c r="Q390">
        <f t="shared" si="12"/>
        <v>-0.99830658634762814</v>
      </c>
    </row>
    <row r="391" spans="16:17" x14ac:dyDescent="0.45">
      <c r="P391" s="9">
        <f t="shared" si="13"/>
        <v>1925000</v>
      </c>
      <c r="Q391">
        <f t="shared" si="12"/>
        <v>-9.6934691130967351E-2</v>
      </c>
    </row>
    <row r="392" spans="16:17" x14ac:dyDescent="0.45">
      <c r="P392" s="9">
        <f t="shared" si="13"/>
        <v>1930000</v>
      </c>
      <c r="Q392">
        <f t="shared" ref="Q392:Q437" si="14">COS(P392)</f>
        <v>0.96832111798592879</v>
      </c>
    </row>
    <row r="393" spans="16:17" x14ac:dyDescent="0.45">
      <c r="P393" s="9">
        <f t="shared" ref="P393:P437" si="15">P392+5000</f>
        <v>1935000</v>
      </c>
      <c r="Q393">
        <f t="shared" si="14"/>
        <v>0.39647205911105277</v>
      </c>
    </row>
    <row r="394" spans="16:17" x14ac:dyDescent="0.45">
      <c r="P394" s="9">
        <f t="shared" si="15"/>
        <v>1940000</v>
      </c>
      <c r="Q394">
        <f t="shared" si="14"/>
        <v>-0.84567771503011779</v>
      </c>
    </row>
    <row r="395" spans="16:17" x14ac:dyDescent="0.45">
      <c r="P395" s="9">
        <f t="shared" si="15"/>
        <v>1945000</v>
      </c>
      <c r="Q395">
        <f t="shared" si="14"/>
        <v>-0.65807130776362144</v>
      </c>
    </row>
    <row r="396" spans="16:17" x14ac:dyDescent="0.45">
      <c r="P396" s="9">
        <f t="shared" si="15"/>
        <v>1950000</v>
      </c>
      <c r="Q396">
        <f t="shared" si="14"/>
        <v>0.64211203437995945</v>
      </c>
    </row>
    <row r="397" spans="16:17" x14ac:dyDescent="0.45">
      <c r="P397" s="9">
        <f t="shared" si="15"/>
        <v>1955000</v>
      </c>
      <c r="Q397">
        <f t="shared" si="14"/>
        <v>0.85670019765767214</v>
      </c>
    </row>
    <row r="398" spans="16:17" x14ac:dyDescent="0.45">
      <c r="P398" s="9">
        <f t="shared" si="15"/>
        <v>1960000</v>
      </c>
      <c r="Q398">
        <f t="shared" si="14"/>
        <v>-0.37710312608707325</v>
      </c>
    </row>
    <row r="399" spans="16:17" x14ac:dyDescent="0.45">
      <c r="P399" s="9">
        <f t="shared" si="15"/>
        <v>1965000</v>
      </c>
      <c r="Q399">
        <f t="shared" si="14"/>
        <v>-0.97335207661300194</v>
      </c>
    </row>
    <row r="400" spans="16:17" x14ac:dyDescent="0.45">
      <c r="P400" s="9">
        <f t="shared" si="15"/>
        <v>1970000</v>
      </c>
      <c r="Q400">
        <f t="shared" si="14"/>
        <v>7.600949740216642E-2</v>
      </c>
    </row>
    <row r="401" spans="16:17" x14ac:dyDescent="0.45">
      <c r="P401" s="9">
        <f t="shared" si="15"/>
        <v>1975000</v>
      </c>
      <c r="Q401">
        <f t="shared" si="14"/>
        <v>0.99686461224858736</v>
      </c>
    </row>
    <row r="402" spans="16:17" x14ac:dyDescent="0.45">
      <c r="P402" s="9">
        <f t="shared" si="15"/>
        <v>1980000</v>
      </c>
      <c r="Q402">
        <f t="shared" si="14"/>
        <v>0.23235742410678842</v>
      </c>
    </row>
    <row r="403" spans="16:17" x14ac:dyDescent="0.45">
      <c r="P403" s="9">
        <f t="shared" si="15"/>
        <v>1985000</v>
      </c>
      <c r="Q403">
        <f t="shared" si="14"/>
        <v>-0.92498790734686565</v>
      </c>
    </row>
    <row r="404" spans="16:17" x14ac:dyDescent="0.45">
      <c r="P404" s="9">
        <f t="shared" si="15"/>
        <v>1990000</v>
      </c>
      <c r="Q404">
        <f t="shared" si="14"/>
        <v>-0.51849023483839685</v>
      </c>
    </row>
    <row r="405" spans="16:17" x14ac:dyDescent="0.45">
      <c r="P405" s="9">
        <f t="shared" si="15"/>
        <v>1995000</v>
      </c>
      <c r="Q405">
        <f t="shared" si="14"/>
        <v>0.76459979086139351</v>
      </c>
    </row>
    <row r="406" spans="16:17" x14ac:dyDescent="0.45">
      <c r="P406" s="9">
        <f t="shared" si="15"/>
        <v>2000000</v>
      </c>
      <c r="Q406">
        <f t="shared" si="14"/>
        <v>0.75500909687572537</v>
      </c>
    </row>
    <row r="407" spans="16:17" x14ac:dyDescent="0.45">
      <c r="P407" s="9">
        <f t="shared" si="15"/>
        <v>2005000</v>
      </c>
      <c r="Q407">
        <f t="shared" si="14"/>
        <v>-0.53104768352992615</v>
      </c>
    </row>
    <row r="408" spans="16:17" x14ac:dyDescent="0.45">
      <c r="P408" s="9">
        <f t="shared" si="15"/>
        <v>2010000</v>
      </c>
      <c r="Q408">
        <f t="shared" si="14"/>
        <v>-0.9192816945108282</v>
      </c>
    </row>
    <row r="409" spans="16:17" x14ac:dyDescent="0.45">
      <c r="P409" s="9">
        <f t="shared" si="15"/>
        <v>2015000</v>
      </c>
      <c r="Q409">
        <f t="shared" si="14"/>
        <v>0.24668001448767374</v>
      </c>
    </row>
    <row r="410" spans="16:17" x14ac:dyDescent="0.45">
      <c r="P410" s="9">
        <f t="shared" si="15"/>
        <v>2020000</v>
      </c>
      <c r="Q410">
        <f t="shared" si="14"/>
        <v>0.9955889038657324</v>
      </c>
    </row>
    <row r="411" spans="16:17" x14ac:dyDescent="0.45">
      <c r="P411" s="9">
        <f t="shared" si="15"/>
        <v>2025000</v>
      </c>
      <c r="Q411">
        <f t="shared" si="14"/>
        <v>6.1292283456625907E-2</v>
      </c>
    </row>
    <row r="412" spans="16:17" x14ac:dyDescent="0.45">
      <c r="P412" s="9">
        <f t="shared" si="15"/>
        <v>2030000</v>
      </c>
      <c r="Q412">
        <f t="shared" si="14"/>
        <v>-0.97662894427890257</v>
      </c>
    </row>
    <row r="413" spans="16:17" x14ac:dyDescent="0.45">
      <c r="P413" s="9">
        <f t="shared" si="15"/>
        <v>2035000</v>
      </c>
      <c r="Q413">
        <f t="shared" si="14"/>
        <v>-0.36339956793983286</v>
      </c>
    </row>
    <row r="414" spans="16:17" x14ac:dyDescent="0.45">
      <c r="P414" s="9">
        <f t="shared" si="15"/>
        <v>2040000</v>
      </c>
      <c r="Q414">
        <f t="shared" si="14"/>
        <v>0.86421608031885044</v>
      </c>
    </row>
    <row r="415" spans="16:17" x14ac:dyDescent="0.45">
      <c r="P415" s="9">
        <f t="shared" si="15"/>
        <v>2045000</v>
      </c>
      <c r="Q415">
        <f t="shared" si="14"/>
        <v>0.63073341541721106</v>
      </c>
    </row>
    <row r="416" spans="16:17" x14ac:dyDescent="0.45">
      <c r="P416" s="9">
        <f t="shared" si="15"/>
        <v>2050000</v>
      </c>
      <c r="Q416">
        <f t="shared" si="14"/>
        <v>-0.66910701614381241</v>
      </c>
    </row>
    <row r="417" spans="16:17" x14ac:dyDescent="0.45">
      <c r="P417" s="9">
        <f t="shared" si="15"/>
        <v>2055000</v>
      </c>
      <c r="Q417">
        <f t="shared" si="14"/>
        <v>-0.83771284691984871</v>
      </c>
    </row>
    <row r="418" spans="16:17" x14ac:dyDescent="0.45">
      <c r="P418" s="9">
        <f t="shared" si="15"/>
        <v>2060000</v>
      </c>
      <c r="Q418">
        <f t="shared" si="14"/>
        <v>0.40997159440335412</v>
      </c>
    </row>
    <row r="419" spans="16:17" x14ac:dyDescent="0.45">
      <c r="P419" s="9">
        <f t="shared" si="15"/>
        <v>2065000</v>
      </c>
      <c r="Q419">
        <f t="shared" si="14"/>
        <v>0.96453215309134166</v>
      </c>
    </row>
    <row r="420" spans="16:17" x14ac:dyDescent="0.45">
      <c r="P420" s="9">
        <f t="shared" si="15"/>
        <v>2070000</v>
      </c>
      <c r="Q420">
        <f t="shared" si="14"/>
        <v>-0.1116062927459099</v>
      </c>
    </row>
    <row r="421" spans="16:17" x14ac:dyDescent="0.45">
      <c r="P421" s="9">
        <f t="shared" si="15"/>
        <v>2075000</v>
      </c>
      <c r="Q421">
        <f t="shared" si="14"/>
        <v>-0.99905608792884515</v>
      </c>
    </row>
    <row r="422" spans="16:17" x14ac:dyDescent="0.45">
      <c r="P422" s="9">
        <f t="shared" si="15"/>
        <v>2080000</v>
      </c>
      <c r="Q422">
        <f t="shared" si="14"/>
        <v>-0.1974385328643436</v>
      </c>
    </row>
    <row r="423" spans="16:17" x14ac:dyDescent="0.45">
      <c r="P423" s="9">
        <f t="shared" si="15"/>
        <v>2085000</v>
      </c>
      <c r="Q423">
        <f t="shared" si="14"/>
        <v>0.93798108153525894</v>
      </c>
    </row>
    <row r="424" spans="16:17" x14ac:dyDescent="0.45">
      <c r="P424" s="9">
        <f t="shared" si="15"/>
        <v>2090000</v>
      </c>
      <c r="Q424">
        <f t="shared" si="14"/>
        <v>0.48759061068184728</v>
      </c>
    </row>
    <row r="425" spans="16:17" x14ac:dyDescent="0.45">
      <c r="P425" s="9">
        <f t="shared" si="15"/>
        <v>2095000</v>
      </c>
      <c r="Q425">
        <f t="shared" si="14"/>
        <v>-0.78715135628954214</v>
      </c>
    </row>
    <row r="426" spans="16:17" x14ac:dyDescent="0.45">
      <c r="P426" s="9">
        <f t="shared" si="15"/>
        <v>2100000</v>
      </c>
      <c r="Q426">
        <f t="shared" si="14"/>
        <v>-0.73108550208248091</v>
      </c>
    </row>
    <row r="427" spans="16:17" x14ac:dyDescent="0.45">
      <c r="P427" s="9">
        <f t="shared" si="15"/>
        <v>2105000</v>
      </c>
      <c r="Q427">
        <f t="shared" si="14"/>
        <v>0.56099969751164502</v>
      </c>
    </row>
    <row r="428" spans="16:17" x14ac:dyDescent="0.45">
      <c r="P428" s="9">
        <f t="shared" si="15"/>
        <v>2110000</v>
      </c>
      <c r="Q428">
        <f t="shared" si="14"/>
        <v>0.90462336024649559</v>
      </c>
    </row>
    <row r="429" spans="16:17" x14ac:dyDescent="0.45">
      <c r="P429" s="9">
        <f t="shared" si="15"/>
        <v>2115000</v>
      </c>
      <c r="Q429">
        <f t="shared" si="14"/>
        <v>-0.28116639086525047</v>
      </c>
    </row>
    <row r="430" spans="16:17" x14ac:dyDescent="0.45">
      <c r="P430" s="9">
        <f t="shared" si="15"/>
        <v>2120000</v>
      </c>
      <c r="Q430">
        <f t="shared" si="14"/>
        <v>-0.99159847533993806</v>
      </c>
    </row>
    <row r="431" spans="16:17" x14ac:dyDescent="0.45">
      <c r="P431" s="9">
        <f t="shared" si="15"/>
        <v>2125000</v>
      </c>
      <c r="Q431">
        <f t="shared" si="14"/>
        <v>-2.5571520638923557E-2</v>
      </c>
    </row>
    <row r="432" spans="16:17" x14ac:dyDescent="0.45">
      <c r="P432" s="9">
        <f t="shared" si="15"/>
        <v>2130000</v>
      </c>
      <c r="Q432">
        <f t="shared" si="14"/>
        <v>0.98368826265825737</v>
      </c>
    </row>
    <row r="433" spans="16:17" x14ac:dyDescent="0.45">
      <c r="P433" s="9">
        <f t="shared" si="15"/>
        <v>2135000</v>
      </c>
      <c r="Q433">
        <f t="shared" si="14"/>
        <v>0.32986251216704504</v>
      </c>
    </row>
    <row r="434" spans="16:17" x14ac:dyDescent="0.45">
      <c r="P434" s="9">
        <f t="shared" si="15"/>
        <v>2140000</v>
      </c>
      <c r="Q434">
        <f t="shared" si="14"/>
        <v>-0.88164964462694906</v>
      </c>
    </row>
    <row r="435" spans="16:17" x14ac:dyDescent="0.45">
      <c r="P435" s="9">
        <f t="shared" si="15"/>
        <v>2145000</v>
      </c>
      <c r="Q435">
        <f t="shared" si="14"/>
        <v>-0.60258920285558948</v>
      </c>
    </row>
    <row r="436" spans="16:17" x14ac:dyDescent="0.45">
      <c r="P436" s="9">
        <f t="shared" si="15"/>
        <v>2150000</v>
      </c>
      <c r="Q436">
        <f t="shared" si="14"/>
        <v>0.69524662145214733</v>
      </c>
    </row>
    <row r="437" spans="16:17" x14ac:dyDescent="0.45">
      <c r="P437" s="9">
        <f t="shared" si="15"/>
        <v>2155000</v>
      </c>
      <c r="Q437">
        <f t="shared" si="14"/>
        <v>0.81765457654069507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24609-466F-4391-B5D2-786D1D2E78A4}">
  <dimension ref="C3:N39"/>
  <sheetViews>
    <sheetView workbookViewId="0">
      <selection activeCell="C30" sqref="C30:C39"/>
    </sheetView>
  </sheetViews>
  <sheetFormatPr defaultRowHeight="14.25" x14ac:dyDescent="0.45"/>
  <cols>
    <col min="5" max="5" width="7.265625" customWidth="1"/>
    <col min="6" max="6" width="20.59765625" customWidth="1"/>
    <col min="8" max="8" width="22.19921875" bestFit="1" customWidth="1"/>
  </cols>
  <sheetData>
    <row r="3" spans="4:11" x14ac:dyDescent="0.45">
      <c r="H3" t="s">
        <v>76</v>
      </c>
    </row>
    <row r="5" spans="4:11" x14ac:dyDescent="0.45">
      <c r="G5">
        <v>20</v>
      </c>
    </row>
    <row r="10" spans="4:11" x14ac:dyDescent="0.45">
      <c r="D10">
        <v>1</v>
      </c>
      <c r="F10" t="s">
        <v>73</v>
      </c>
      <c r="G10">
        <f>$G$5+$D10</f>
        <v>21</v>
      </c>
      <c r="H10" t="s">
        <v>74</v>
      </c>
      <c r="I10">
        <f>D10</f>
        <v>1</v>
      </c>
      <c r="J10" t="s">
        <v>75</v>
      </c>
      <c r="K10" t="str">
        <f>F10&amp;G10&amp;H10&amp;I10&amp;J10</f>
        <v>if (receivedValue == 21) { capturePreset(preset1); }</v>
      </c>
    </row>
    <row r="11" spans="4:11" x14ac:dyDescent="0.45">
      <c r="D11">
        <v>2</v>
      </c>
      <c r="F11" t="s">
        <v>73</v>
      </c>
      <c r="G11">
        <f t="shared" ref="G11:G19" si="0">$G$5+$D11</f>
        <v>22</v>
      </c>
      <c r="H11" t="s">
        <v>74</v>
      </c>
      <c r="I11">
        <f t="shared" ref="I11:I19" si="1">D11</f>
        <v>2</v>
      </c>
      <c r="J11" t="s">
        <v>75</v>
      </c>
      <c r="K11" t="str">
        <f t="shared" ref="K11:K19" si="2">F11&amp;G11&amp;H11&amp;I11&amp;J11</f>
        <v>if (receivedValue == 22) { capturePreset(preset2); }</v>
      </c>
    </row>
    <row r="12" spans="4:11" x14ac:dyDescent="0.45">
      <c r="D12">
        <v>3</v>
      </c>
      <c r="F12" t="s">
        <v>73</v>
      </c>
      <c r="G12">
        <f t="shared" si="0"/>
        <v>23</v>
      </c>
      <c r="H12" t="s">
        <v>74</v>
      </c>
      <c r="I12">
        <f t="shared" si="1"/>
        <v>3</v>
      </c>
      <c r="J12" t="s">
        <v>75</v>
      </c>
      <c r="K12" t="str">
        <f t="shared" si="2"/>
        <v>if (receivedValue == 23) { capturePreset(preset3); }</v>
      </c>
    </row>
    <row r="13" spans="4:11" x14ac:dyDescent="0.45">
      <c r="D13">
        <v>4</v>
      </c>
      <c r="F13" t="s">
        <v>73</v>
      </c>
      <c r="G13">
        <f t="shared" si="0"/>
        <v>24</v>
      </c>
      <c r="H13" t="s">
        <v>74</v>
      </c>
      <c r="I13">
        <f t="shared" si="1"/>
        <v>4</v>
      </c>
      <c r="J13" t="s">
        <v>75</v>
      </c>
      <c r="K13" t="str">
        <f t="shared" si="2"/>
        <v>if (receivedValue == 24) { capturePreset(preset4); }</v>
      </c>
    </row>
    <row r="14" spans="4:11" x14ac:dyDescent="0.45">
      <c r="D14">
        <v>5</v>
      </c>
      <c r="F14" t="s">
        <v>73</v>
      </c>
      <c r="G14">
        <f t="shared" si="0"/>
        <v>25</v>
      </c>
      <c r="H14" t="s">
        <v>74</v>
      </c>
      <c r="I14">
        <f t="shared" si="1"/>
        <v>5</v>
      </c>
      <c r="J14" t="s">
        <v>75</v>
      </c>
      <c r="K14" t="str">
        <f t="shared" si="2"/>
        <v>if (receivedValue == 25) { capturePreset(preset5); }</v>
      </c>
    </row>
    <row r="15" spans="4:11" x14ac:dyDescent="0.45">
      <c r="D15">
        <v>6</v>
      </c>
      <c r="F15" t="s">
        <v>73</v>
      </c>
      <c r="G15">
        <f t="shared" si="0"/>
        <v>26</v>
      </c>
      <c r="H15" t="s">
        <v>74</v>
      </c>
      <c r="I15">
        <f t="shared" si="1"/>
        <v>6</v>
      </c>
      <c r="J15" t="s">
        <v>75</v>
      </c>
      <c r="K15" t="str">
        <f t="shared" si="2"/>
        <v>if (receivedValue == 26) { capturePreset(preset6); }</v>
      </c>
    </row>
    <row r="16" spans="4:11" x14ac:dyDescent="0.45">
      <c r="D16">
        <v>7</v>
      </c>
      <c r="F16" t="s">
        <v>73</v>
      </c>
      <c r="G16">
        <f t="shared" si="0"/>
        <v>27</v>
      </c>
      <c r="H16" t="s">
        <v>74</v>
      </c>
      <c r="I16">
        <f t="shared" si="1"/>
        <v>7</v>
      </c>
      <c r="J16" t="s">
        <v>75</v>
      </c>
      <c r="K16" t="str">
        <f t="shared" si="2"/>
        <v>if (receivedValue == 27) { capturePreset(preset7); }</v>
      </c>
    </row>
    <row r="17" spans="3:14" x14ac:dyDescent="0.45">
      <c r="D17">
        <v>8</v>
      </c>
      <c r="F17" t="s">
        <v>73</v>
      </c>
      <c r="G17">
        <f t="shared" si="0"/>
        <v>28</v>
      </c>
      <c r="H17" t="s">
        <v>74</v>
      </c>
      <c r="I17">
        <f t="shared" si="1"/>
        <v>8</v>
      </c>
      <c r="J17" t="s">
        <v>75</v>
      </c>
      <c r="K17" t="str">
        <f t="shared" si="2"/>
        <v>if (receivedValue == 28) { capturePreset(preset8); }</v>
      </c>
    </row>
    <row r="18" spans="3:14" x14ac:dyDescent="0.45">
      <c r="D18">
        <v>9</v>
      </c>
      <c r="F18" t="s">
        <v>73</v>
      </c>
      <c r="G18">
        <f t="shared" si="0"/>
        <v>29</v>
      </c>
      <c r="H18" t="s">
        <v>74</v>
      </c>
      <c r="I18">
        <f t="shared" si="1"/>
        <v>9</v>
      </c>
      <c r="J18" t="s">
        <v>75</v>
      </c>
      <c r="K18" t="str">
        <f t="shared" si="2"/>
        <v>if (receivedValue == 29) { capturePreset(preset9); }</v>
      </c>
    </row>
    <row r="19" spans="3:14" x14ac:dyDescent="0.45">
      <c r="D19">
        <v>10</v>
      </c>
      <c r="F19" t="s">
        <v>73</v>
      </c>
      <c r="G19">
        <f t="shared" si="0"/>
        <v>30</v>
      </c>
      <c r="H19" t="s">
        <v>74</v>
      </c>
      <c r="I19">
        <f t="shared" si="1"/>
        <v>10</v>
      </c>
      <c r="J19" t="s">
        <v>75</v>
      </c>
      <c r="K19" t="str">
        <f t="shared" si="2"/>
        <v>if (receivedValue == 30) { capturePreset(preset10); }</v>
      </c>
    </row>
    <row r="25" spans="3:14" x14ac:dyDescent="0.45">
      <c r="G25">
        <v>40</v>
      </c>
    </row>
    <row r="27" spans="3:14" x14ac:dyDescent="0.45">
      <c r="F27" t="s">
        <v>73</v>
      </c>
      <c r="J27" t="s">
        <v>79</v>
      </c>
      <c r="N27" t="s">
        <v>77</v>
      </c>
    </row>
    <row r="30" spans="3:14" x14ac:dyDescent="0.45">
      <c r="C30" t="str">
        <f>"'preset"&amp;D30&amp;"', "</f>
        <v xml:space="preserve">'preset1', </v>
      </c>
      <c r="D30">
        <v>1</v>
      </c>
      <c r="F30" t="s">
        <v>73</v>
      </c>
      <c r="G30">
        <f>$G$25+$D30</f>
        <v>41</v>
      </c>
      <c r="H30" t="s">
        <v>78</v>
      </c>
      <c r="I30" t="str">
        <f>"preset"&amp;D30</f>
        <v>preset1</v>
      </c>
      <c r="K30" t="str">
        <f>""","&amp;I30</f>
        <v>",preset1</v>
      </c>
      <c r="L30" t="s">
        <v>75</v>
      </c>
      <c r="N30" t="str">
        <f t="shared" ref="N30:N39" si="3">F30&amp;G30&amp;H30&amp;I30&amp;K30&amp;L30</f>
        <v>if (receivedValue == 41) { retrievePreset("preset1",preset1); }</v>
      </c>
    </row>
    <row r="31" spans="3:14" x14ac:dyDescent="0.45">
      <c r="C31" t="str">
        <f t="shared" ref="C31:C39" si="4">"'preset"&amp;D31&amp;"', "</f>
        <v xml:space="preserve">'preset2', </v>
      </c>
      <c r="D31">
        <v>2</v>
      </c>
      <c r="F31" t="s">
        <v>73</v>
      </c>
      <c r="G31">
        <f t="shared" ref="G31:G39" si="5">$G$25+$D31</f>
        <v>42</v>
      </c>
      <c r="H31" t="s">
        <v>78</v>
      </c>
      <c r="I31" t="str">
        <f t="shared" ref="I31:I39" si="6">"preset"&amp;D31</f>
        <v>preset2</v>
      </c>
      <c r="K31" t="str">
        <f t="shared" ref="K31:K39" si="7">""","&amp;I31</f>
        <v>",preset2</v>
      </c>
      <c r="L31" t="s">
        <v>75</v>
      </c>
      <c r="N31" t="str">
        <f t="shared" si="3"/>
        <v>if (receivedValue == 42) { retrievePreset("preset2",preset2); }</v>
      </c>
    </row>
    <row r="32" spans="3:14" x14ac:dyDescent="0.45">
      <c r="C32" t="str">
        <f t="shared" si="4"/>
        <v xml:space="preserve">'preset3', </v>
      </c>
      <c r="D32">
        <v>3</v>
      </c>
      <c r="F32" t="s">
        <v>73</v>
      </c>
      <c r="G32">
        <f t="shared" si="5"/>
        <v>43</v>
      </c>
      <c r="H32" t="s">
        <v>78</v>
      </c>
      <c r="I32" t="str">
        <f t="shared" si="6"/>
        <v>preset3</v>
      </c>
      <c r="K32" t="str">
        <f t="shared" si="7"/>
        <v>",preset3</v>
      </c>
      <c r="L32" t="s">
        <v>75</v>
      </c>
      <c r="N32" t="str">
        <f t="shared" si="3"/>
        <v>if (receivedValue == 43) { retrievePreset("preset3",preset3); }</v>
      </c>
    </row>
    <row r="33" spans="3:14" x14ac:dyDescent="0.45">
      <c r="C33" t="str">
        <f t="shared" si="4"/>
        <v xml:space="preserve">'preset4', </v>
      </c>
      <c r="D33">
        <v>4</v>
      </c>
      <c r="F33" t="s">
        <v>73</v>
      </c>
      <c r="G33">
        <f t="shared" si="5"/>
        <v>44</v>
      </c>
      <c r="H33" t="s">
        <v>78</v>
      </c>
      <c r="I33" t="str">
        <f t="shared" si="6"/>
        <v>preset4</v>
      </c>
      <c r="K33" t="str">
        <f t="shared" si="7"/>
        <v>",preset4</v>
      </c>
      <c r="L33" t="s">
        <v>75</v>
      </c>
      <c r="N33" t="str">
        <f t="shared" si="3"/>
        <v>if (receivedValue == 44) { retrievePreset("preset4",preset4); }</v>
      </c>
    </row>
    <row r="34" spans="3:14" x14ac:dyDescent="0.45">
      <c r="C34" t="str">
        <f t="shared" si="4"/>
        <v xml:space="preserve">'preset5', </v>
      </c>
      <c r="D34">
        <v>5</v>
      </c>
      <c r="F34" t="s">
        <v>73</v>
      </c>
      <c r="G34">
        <f t="shared" si="5"/>
        <v>45</v>
      </c>
      <c r="H34" t="s">
        <v>78</v>
      </c>
      <c r="I34" t="str">
        <f t="shared" si="6"/>
        <v>preset5</v>
      </c>
      <c r="K34" t="str">
        <f t="shared" si="7"/>
        <v>",preset5</v>
      </c>
      <c r="L34" t="s">
        <v>75</v>
      </c>
      <c r="N34" t="str">
        <f t="shared" si="3"/>
        <v>if (receivedValue == 45) { retrievePreset("preset5",preset5); }</v>
      </c>
    </row>
    <row r="35" spans="3:14" x14ac:dyDescent="0.45">
      <c r="C35" t="str">
        <f t="shared" si="4"/>
        <v xml:space="preserve">'preset6', </v>
      </c>
      <c r="D35">
        <v>6</v>
      </c>
      <c r="F35" t="s">
        <v>73</v>
      </c>
      <c r="G35">
        <f t="shared" si="5"/>
        <v>46</v>
      </c>
      <c r="H35" t="s">
        <v>78</v>
      </c>
      <c r="I35" t="str">
        <f t="shared" si="6"/>
        <v>preset6</v>
      </c>
      <c r="K35" t="str">
        <f t="shared" si="7"/>
        <v>",preset6</v>
      </c>
      <c r="L35" t="s">
        <v>75</v>
      </c>
      <c r="N35" t="str">
        <f t="shared" si="3"/>
        <v>if (receivedValue == 46) { retrievePreset("preset6",preset6); }</v>
      </c>
    </row>
    <row r="36" spans="3:14" x14ac:dyDescent="0.45">
      <c r="C36" t="str">
        <f t="shared" si="4"/>
        <v xml:space="preserve">'preset7', </v>
      </c>
      <c r="D36">
        <v>7</v>
      </c>
      <c r="F36" t="s">
        <v>73</v>
      </c>
      <c r="G36">
        <f t="shared" si="5"/>
        <v>47</v>
      </c>
      <c r="H36" t="s">
        <v>78</v>
      </c>
      <c r="I36" t="str">
        <f t="shared" si="6"/>
        <v>preset7</v>
      </c>
      <c r="K36" t="str">
        <f t="shared" si="7"/>
        <v>",preset7</v>
      </c>
      <c r="L36" t="s">
        <v>75</v>
      </c>
      <c r="N36" t="str">
        <f t="shared" si="3"/>
        <v>if (receivedValue == 47) { retrievePreset("preset7",preset7); }</v>
      </c>
    </row>
    <row r="37" spans="3:14" x14ac:dyDescent="0.45">
      <c r="C37" t="str">
        <f t="shared" si="4"/>
        <v xml:space="preserve">'preset8', </v>
      </c>
      <c r="D37">
        <v>8</v>
      </c>
      <c r="F37" t="s">
        <v>73</v>
      </c>
      <c r="G37">
        <f t="shared" si="5"/>
        <v>48</v>
      </c>
      <c r="H37" t="s">
        <v>78</v>
      </c>
      <c r="I37" t="str">
        <f t="shared" si="6"/>
        <v>preset8</v>
      </c>
      <c r="K37" t="str">
        <f t="shared" si="7"/>
        <v>",preset8</v>
      </c>
      <c r="L37" t="s">
        <v>75</v>
      </c>
      <c r="N37" t="str">
        <f t="shared" si="3"/>
        <v>if (receivedValue == 48) { retrievePreset("preset8",preset8); }</v>
      </c>
    </row>
    <row r="38" spans="3:14" x14ac:dyDescent="0.45">
      <c r="C38" t="str">
        <f t="shared" si="4"/>
        <v xml:space="preserve">'preset9', </v>
      </c>
      <c r="D38">
        <v>9</v>
      </c>
      <c r="F38" t="s">
        <v>73</v>
      </c>
      <c r="G38">
        <f t="shared" si="5"/>
        <v>49</v>
      </c>
      <c r="H38" t="s">
        <v>78</v>
      </c>
      <c r="I38" t="str">
        <f t="shared" si="6"/>
        <v>preset9</v>
      </c>
      <c r="K38" t="str">
        <f t="shared" si="7"/>
        <v>",preset9</v>
      </c>
      <c r="L38" t="s">
        <v>75</v>
      </c>
      <c r="N38" t="str">
        <f t="shared" si="3"/>
        <v>if (receivedValue == 49) { retrievePreset("preset9",preset9); }</v>
      </c>
    </row>
    <row r="39" spans="3:14" x14ac:dyDescent="0.45">
      <c r="C39" t="str">
        <f t="shared" si="4"/>
        <v xml:space="preserve">'preset10', </v>
      </c>
      <c r="D39">
        <v>10</v>
      </c>
      <c r="F39" t="s">
        <v>73</v>
      </c>
      <c r="G39">
        <f t="shared" si="5"/>
        <v>50</v>
      </c>
      <c r="H39" t="s">
        <v>78</v>
      </c>
      <c r="I39" t="str">
        <f t="shared" si="6"/>
        <v>preset10</v>
      </c>
      <c r="K39" t="str">
        <f t="shared" si="7"/>
        <v>",preset10</v>
      </c>
      <c r="L39" t="s">
        <v>75</v>
      </c>
      <c r="N39" t="str">
        <f t="shared" si="3"/>
        <v>if (receivedValue == 50) { retrievePreset("preset10",preset10); }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11B8-F834-43FB-8413-032927A006B8}">
  <dimension ref="E6:F41"/>
  <sheetViews>
    <sheetView topLeftCell="A18" workbookViewId="0">
      <selection activeCell="J28" sqref="J28"/>
    </sheetView>
  </sheetViews>
  <sheetFormatPr defaultRowHeight="14.25" x14ac:dyDescent="0.45"/>
  <sheetData>
    <row r="6" spans="5:6" x14ac:dyDescent="0.45">
      <c r="E6">
        <v>1</v>
      </c>
      <c r="F6" t="str">
        <f>"'"&amp;E6&amp;"', "</f>
        <v xml:space="preserve">'1', </v>
      </c>
    </row>
    <row r="7" spans="5:6" x14ac:dyDescent="0.45">
      <c r="E7">
        <v>2</v>
      </c>
      <c r="F7" t="str">
        <f t="shared" ref="F7:F37" si="0">"'"&amp;E7&amp;"', "</f>
        <v xml:space="preserve">'2', </v>
      </c>
    </row>
    <row r="8" spans="5:6" x14ac:dyDescent="0.45">
      <c r="E8">
        <v>21</v>
      </c>
      <c r="F8" t="str">
        <f t="shared" si="0"/>
        <v xml:space="preserve">'21', </v>
      </c>
    </row>
    <row r="9" spans="5:6" x14ac:dyDescent="0.45">
      <c r="E9">
        <f>E8+1</f>
        <v>22</v>
      </c>
      <c r="F9" t="str">
        <f t="shared" si="0"/>
        <v xml:space="preserve">'22', </v>
      </c>
    </row>
    <row r="10" spans="5:6" x14ac:dyDescent="0.45">
      <c r="E10">
        <f t="shared" ref="E10:E37" si="1">E9+1</f>
        <v>23</v>
      </c>
      <c r="F10" t="str">
        <f t="shared" si="0"/>
        <v xml:space="preserve">'23', </v>
      </c>
    </row>
    <row r="11" spans="5:6" x14ac:dyDescent="0.45">
      <c r="E11">
        <f t="shared" si="1"/>
        <v>24</v>
      </c>
      <c r="F11" t="str">
        <f t="shared" si="0"/>
        <v xml:space="preserve">'24', </v>
      </c>
    </row>
    <row r="12" spans="5:6" x14ac:dyDescent="0.45">
      <c r="E12">
        <f t="shared" si="1"/>
        <v>25</v>
      </c>
      <c r="F12" t="str">
        <f t="shared" si="0"/>
        <v xml:space="preserve">'25', </v>
      </c>
    </row>
    <row r="13" spans="5:6" x14ac:dyDescent="0.45">
      <c r="E13">
        <f t="shared" si="1"/>
        <v>26</v>
      </c>
      <c r="F13" t="str">
        <f t="shared" si="0"/>
        <v xml:space="preserve">'26', </v>
      </c>
    </row>
    <row r="14" spans="5:6" x14ac:dyDescent="0.45">
      <c r="E14">
        <f t="shared" si="1"/>
        <v>27</v>
      </c>
      <c r="F14" t="str">
        <f t="shared" si="0"/>
        <v xml:space="preserve">'27', </v>
      </c>
    </row>
    <row r="15" spans="5:6" x14ac:dyDescent="0.45">
      <c r="E15">
        <f t="shared" si="1"/>
        <v>28</v>
      </c>
      <c r="F15" t="str">
        <f t="shared" si="0"/>
        <v xml:space="preserve">'28', </v>
      </c>
    </row>
    <row r="16" spans="5:6" x14ac:dyDescent="0.45">
      <c r="E16">
        <f t="shared" si="1"/>
        <v>29</v>
      </c>
      <c r="F16" t="str">
        <f t="shared" si="0"/>
        <v xml:space="preserve">'29', </v>
      </c>
    </row>
    <row r="17" spans="5:6" x14ac:dyDescent="0.45">
      <c r="E17">
        <f t="shared" si="1"/>
        <v>30</v>
      </c>
      <c r="F17" t="str">
        <f t="shared" si="0"/>
        <v xml:space="preserve">'30', </v>
      </c>
    </row>
    <row r="18" spans="5:6" x14ac:dyDescent="0.45">
      <c r="E18">
        <v>51</v>
      </c>
      <c r="F18" t="str">
        <f t="shared" si="0"/>
        <v xml:space="preserve">'51', </v>
      </c>
    </row>
    <row r="19" spans="5:6" x14ac:dyDescent="0.45">
      <c r="E19">
        <f t="shared" si="1"/>
        <v>52</v>
      </c>
      <c r="F19" t="str">
        <f t="shared" si="0"/>
        <v xml:space="preserve">'52', </v>
      </c>
    </row>
    <row r="20" spans="5:6" x14ac:dyDescent="0.45">
      <c r="E20">
        <f t="shared" si="1"/>
        <v>53</v>
      </c>
      <c r="F20" t="str">
        <f t="shared" si="0"/>
        <v xml:space="preserve">'53', </v>
      </c>
    </row>
    <row r="21" spans="5:6" x14ac:dyDescent="0.45">
      <c r="E21">
        <f t="shared" si="1"/>
        <v>54</v>
      </c>
      <c r="F21" t="str">
        <f t="shared" si="0"/>
        <v xml:space="preserve">'54', </v>
      </c>
    </row>
    <row r="22" spans="5:6" x14ac:dyDescent="0.45">
      <c r="E22">
        <f t="shared" si="1"/>
        <v>55</v>
      </c>
      <c r="F22" t="str">
        <f t="shared" si="0"/>
        <v xml:space="preserve">'55', </v>
      </c>
    </row>
    <row r="23" spans="5:6" x14ac:dyDescent="0.45">
      <c r="E23">
        <f t="shared" si="1"/>
        <v>56</v>
      </c>
      <c r="F23" t="str">
        <f t="shared" si="0"/>
        <v xml:space="preserve">'56', </v>
      </c>
    </row>
    <row r="24" spans="5:6" x14ac:dyDescent="0.45">
      <c r="E24">
        <f t="shared" si="1"/>
        <v>57</v>
      </c>
      <c r="F24" t="str">
        <f t="shared" si="0"/>
        <v xml:space="preserve">'57', </v>
      </c>
    </row>
    <row r="25" spans="5:6" x14ac:dyDescent="0.45">
      <c r="E25">
        <f t="shared" si="1"/>
        <v>58</v>
      </c>
      <c r="F25" t="str">
        <f t="shared" si="0"/>
        <v xml:space="preserve">'58', </v>
      </c>
    </row>
    <row r="26" spans="5:6" x14ac:dyDescent="0.45">
      <c r="E26">
        <f t="shared" si="1"/>
        <v>59</v>
      </c>
      <c r="F26" t="str">
        <f t="shared" si="0"/>
        <v xml:space="preserve">'59', </v>
      </c>
    </row>
    <row r="27" spans="5:6" x14ac:dyDescent="0.45">
      <c r="E27">
        <f t="shared" si="1"/>
        <v>60</v>
      </c>
      <c r="F27" t="str">
        <f t="shared" si="0"/>
        <v xml:space="preserve">'60', </v>
      </c>
    </row>
    <row r="28" spans="5:6" x14ac:dyDescent="0.45">
      <c r="E28">
        <v>71</v>
      </c>
      <c r="F28" t="str">
        <f t="shared" si="0"/>
        <v xml:space="preserve">'71', </v>
      </c>
    </row>
    <row r="29" spans="5:6" x14ac:dyDescent="0.45">
      <c r="E29">
        <f t="shared" si="1"/>
        <v>72</v>
      </c>
      <c r="F29" t="str">
        <f t="shared" si="0"/>
        <v xml:space="preserve">'72', </v>
      </c>
    </row>
    <row r="30" spans="5:6" x14ac:dyDescent="0.45">
      <c r="E30">
        <f t="shared" si="1"/>
        <v>73</v>
      </c>
      <c r="F30" t="str">
        <f t="shared" si="0"/>
        <v xml:space="preserve">'73', </v>
      </c>
    </row>
    <row r="31" spans="5:6" x14ac:dyDescent="0.45">
      <c r="E31">
        <f t="shared" si="1"/>
        <v>74</v>
      </c>
      <c r="F31" t="str">
        <f t="shared" si="0"/>
        <v xml:space="preserve">'74', </v>
      </c>
    </row>
    <row r="32" spans="5:6" x14ac:dyDescent="0.45">
      <c r="E32">
        <f t="shared" si="1"/>
        <v>75</v>
      </c>
      <c r="F32" t="str">
        <f t="shared" si="0"/>
        <v xml:space="preserve">'75', </v>
      </c>
    </row>
    <row r="33" spans="5:6" x14ac:dyDescent="0.45">
      <c r="E33">
        <f t="shared" si="1"/>
        <v>76</v>
      </c>
      <c r="F33" t="str">
        <f t="shared" si="0"/>
        <v xml:space="preserve">'76', </v>
      </c>
    </row>
    <row r="34" spans="5:6" x14ac:dyDescent="0.45">
      <c r="E34">
        <f t="shared" si="1"/>
        <v>77</v>
      </c>
      <c r="F34" t="str">
        <f t="shared" si="0"/>
        <v xml:space="preserve">'77', </v>
      </c>
    </row>
    <row r="35" spans="5:6" x14ac:dyDescent="0.45">
      <c r="E35">
        <f t="shared" si="1"/>
        <v>78</v>
      </c>
      <c r="F35" t="str">
        <f t="shared" si="0"/>
        <v xml:space="preserve">'78', </v>
      </c>
    </row>
    <row r="36" spans="5:6" x14ac:dyDescent="0.45">
      <c r="E36">
        <f t="shared" si="1"/>
        <v>79</v>
      </c>
      <c r="F36" t="str">
        <f t="shared" si="0"/>
        <v xml:space="preserve">'79', </v>
      </c>
    </row>
    <row r="37" spans="5:6" x14ac:dyDescent="0.45">
      <c r="E37">
        <f t="shared" si="1"/>
        <v>80</v>
      </c>
      <c r="F37" t="str">
        <f t="shared" si="0"/>
        <v xml:space="preserve">'80', </v>
      </c>
    </row>
    <row r="41" spans="5:6" x14ac:dyDescent="0.45">
      <c r="F41" t="str">
        <f>_xlfn.CONCAT(F6:F37)</f>
        <v xml:space="preserve">'1', '2', '21', '22', '23', '24', '25', '26', '27', '28', '29', '30', '51', '52', '53', '54', '55', '56', '57', '58', '59', '60', '71', '72', '73', '74', '75', '76', '77', '78', '79', '80', 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7F28-F6BE-42E8-A6D2-1C92C2900A5D}">
  <dimension ref="C8:AG38"/>
  <sheetViews>
    <sheetView topLeftCell="C10" workbookViewId="0">
      <selection activeCell="E25" sqref="E25:E35"/>
    </sheetView>
  </sheetViews>
  <sheetFormatPr defaultRowHeight="14.25" x14ac:dyDescent="0.45"/>
  <cols>
    <col min="4" max="4" width="19.265625" style="4" bestFit="1" customWidth="1"/>
    <col min="5" max="14" width="14.86328125" style="3" customWidth="1"/>
    <col min="15" max="15" width="14.86328125" style="2" customWidth="1"/>
    <col min="29" max="29" width="49.06640625" bestFit="1" customWidth="1"/>
    <col min="31" max="31" width="18" bestFit="1" customWidth="1"/>
    <col min="33" max="33" width="61.265625" bestFit="1" customWidth="1"/>
  </cols>
  <sheetData>
    <row r="8" spans="3:33" x14ac:dyDescent="0.45">
      <c r="E8" s="3">
        <v>0</v>
      </c>
      <c r="F8" s="3">
        <f>E8+1</f>
        <v>1</v>
      </c>
      <c r="G8" s="3">
        <f t="shared" ref="G8" si="0">F8+1</f>
        <v>2</v>
      </c>
      <c r="H8" s="3">
        <f>G8+1</f>
        <v>3</v>
      </c>
      <c r="I8" s="3">
        <f t="shared" ref="I8:O8" si="1">H8+1</f>
        <v>4</v>
      </c>
      <c r="J8" s="3">
        <f t="shared" si="1"/>
        <v>5</v>
      </c>
      <c r="K8" s="3">
        <f t="shared" si="1"/>
        <v>6</v>
      </c>
      <c r="L8" s="3">
        <f t="shared" si="1"/>
        <v>7</v>
      </c>
      <c r="M8" s="3">
        <f t="shared" si="1"/>
        <v>8</v>
      </c>
      <c r="N8" s="3">
        <f t="shared" si="1"/>
        <v>9</v>
      </c>
      <c r="O8" s="3">
        <f t="shared" si="1"/>
        <v>10</v>
      </c>
    </row>
    <row r="10" spans="3:33" x14ac:dyDescent="0.45">
      <c r="E10" s="6" t="s">
        <v>56</v>
      </c>
      <c r="F10" s="6" t="s">
        <v>57</v>
      </c>
      <c r="G10" s="6" t="s">
        <v>58</v>
      </c>
      <c r="H10" s="6" t="s">
        <v>93</v>
      </c>
      <c r="I10" s="6" t="s">
        <v>59</v>
      </c>
      <c r="J10" s="6" t="s">
        <v>60</v>
      </c>
      <c r="K10" s="6" t="s">
        <v>61</v>
      </c>
      <c r="L10" s="6" t="s">
        <v>62</v>
      </c>
      <c r="M10" s="6" t="s">
        <v>63</v>
      </c>
      <c r="N10" s="6" t="s">
        <v>64</v>
      </c>
      <c r="O10" s="6" t="s">
        <v>65</v>
      </c>
    </row>
    <row r="11" spans="3:33" x14ac:dyDescent="0.45">
      <c r="C11">
        <v>0</v>
      </c>
      <c r="D11" s="5" t="s">
        <v>80</v>
      </c>
      <c r="E11" s="3" t="b">
        <v>1</v>
      </c>
      <c r="F11" s="3" t="b">
        <v>1</v>
      </c>
      <c r="G11" s="3" t="b">
        <v>1</v>
      </c>
      <c r="H11" s="3" t="b">
        <v>1</v>
      </c>
      <c r="I11" s="3" t="b">
        <v>1</v>
      </c>
      <c r="J11" s="3" t="b">
        <v>1</v>
      </c>
      <c r="K11" s="3" t="b">
        <v>1</v>
      </c>
      <c r="L11" s="3" t="b">
        <v>1</v>
      </c>
      <c r="M11" s="3" t="b">
        <v>1</v>
      </c>
      <c r="N11" s="3" t="b">
        <v>0</v>
      </c>
      <c r="O11" s="3" t="b">
        <v>0</v>
      </c>
      <c r="Q11" t="str">
        <f>LOWER(E11)&amp;", "</f>
        <v xml:space="preserve">true, </v>
      </c>
      <c r="R11" t="str">
        <f t="shared" ref="R11:R20" si="2">LOWER(F11)&amp;", "</f>
        <v xml:space="preserve">true, </v>
      </c>
      <c r="S11" t="str">
        <f t="shared" ref="S11:S20" si="3">LOWER(G11)&amp;", "</f>
        <v xml:space="preserve">true, </v>
      </c>
      <c r="T11" t="str">
        <f t="shared" ref="T11:T20" si="4">LOWER(H11)&amp;", "</f>
        <v xml:space="preserve">true, </v>
      </c>
      <c r="U11" t="str">
        <f t="shared" ref="U11:U20" si="5">LOWER(I11)&amp;", "</f>
        <v xml:space="preserve">true, </v>
      </c>
      <c r="V11" t="str">
        <f t="shared" ref="V11:V20" si="6">LOWER(J11)&amp;", "</f>
        <v xml:space="preserve">true, </v>
      </c>
      <c r="W11" t="str">
        <f t="shared" ref="W11:W20" si="7">LOWER(K11)&amp;", "</f>
        <v xml:space="preserve">true, </v>
      </c>
      <c r="X11" t="str">
        <f t="shared" ref="X11:X20" si="8">LOWER(L11)&amp;", "</f>
        <v xml:space="preserve">true, </v>
      </c>
      <c r="Y11" t="str">
        <f t="shared" ref="Y11:Y20" si="9">LOWER(M11)&amp;", "</f>
        <v xml:space="preserve">true, </v>
      </c>
      <c r="Z11" t="str">
        <f t="shared" ref="Z11:Z20" si="10">LOWER(N11)&amp;", "</f>
        <v xml:space="preserve">false, </v>
      </c>
      <c r="AA11" t="str">
        <f t="shared" ref="AA11:AA20" si="11">LOWER(O11)</f>
        <v>false</v>
      </c>
      <c r="AC11" t="str">
        <f>"["&amp;_xlfn.CONCAT(Q11:AA11)&amp;"],"</f>
        <v>[true, true, true, true, true, true, true, true, true, false, false],</v>
      </c>
      <c r="AE11" t="s">
        <v>80</v>
      </c>
      <c r="AG11" t="str">
        <f>AC11&amp;" //  "&amp;AE11</f>
        <v>[true, true, true, true, true, true, true, true, true, false, false], //  POLAR_WAVES</v>
      </c>
    </row>
    <row r="12" spans="3:33" x14ac:dyDescent="0.45">
      <c r="C12">
        <f>C11+1</f>
        <v>1</v>
      </c>
      <c r="D12" s="5" t="s">
        <v>81</v>
      </c>
      <c r="E12" s="3" t="b">
        <v>1</v>
      </c>
      <c r="F12" s="3" t="b">
        <v>1</v>
      </c>
      <c r="G12" s="3" t="b">
        <v>1</v>
      </c>
      <c r="H12" s="3" t="b">
        <v>1</v>
      </c>
      <c r="I12" s="3" t="b">
        <v>0</v>
      </c>
      <c r="J12" s="3" t="b">
        <v>0</v>
      </c>
      <c r="K12" s="3" t="b">
        <v>1</v>
      </c>
      <c r="L12" s="3" t="b">
        <v>1</v>
      </c>
      <c r="M12" s="3" t="b">
        <v>1</v>
      </c>
      <c r="N12" s="3" t="b">
        <v>1</v>
      </c>
      <c r="O12" s="3" t="b">
        <v>1</v>
      </c>
      <c r="Q12" t="str">
        <f t="shared" ref="Q12:Q20" si="12">LOWER(E12)&amp;", "</f>
        <v xml:space="preserve">true, </v>
      </c>
      <c r="R12" t="str">
        <f t="shared" si="2"/>
        <v xml:space="preserve">true, </v>
      </c>
      <c r="S12" t="str">
        <f t="shared" si="3"/>
        <v xml:space="preserve">true, </v>
      </c>
      <c r="T12" t="str">
        <f t="shared" si="4"/>
        <v xml:space="preserve">true, </v>
      </c>
      <c r="U12" t="str">
        <f t="shared" si="5"/>
        <v xml:space="preserve">false, </v>
      </c>
      <c r="V12" t="str">
        <f t="shared" si="6"/>
        <v xml:space="preserve">false, </v>
      </c>
      <c r="W12" t="str">
        <f t="shared" si="7"/>
        <v xml:space="preserve">true, </v>
      </c>
      <c r="X12" t="str">
        <f t="shared" si="8"/>
        <v xml:space="preserve">true, </v>
      </c>
      <c r="Y12" t="str">
        <f t="shared" si="9"/>
        <v xml:space="preserve">true, </v>
      </c>
      <c r="Z12" t="str">
        <f t="shared" si="10"/>
        <v xml:space="preserve">true, </v>
      </c>
      <c r="AA12" t="str">
        <f t="shared" si="11"/>
        <v>true</v>
      </c>
      <c r="AC12" t="str">
        <f t="shared" ref="AC12:AC20" si="13">"["&amp;_xlfn.CONCAT(Q12:AA12)&amp;"],"</f>
        <v>[true, true, true, true, false, false, true, true, true, true, true],</v>
      </c>
      <c r="AE12" t="s">
        <v>81</v>
      </c>
      <c r="AG12" t="str">
        <f t="shared" ref="AG12:AG20" si="14">AC12&amp;" //  "&amp;AE12</f>
        <v>[true, true, true, true, false, false, true, true, true, true, true], //  SPIRALUS</v>
      </c>
    </row>
    <row r="13" spans="3:33" x14ac:dyDescent="0.45">
      <c r="C13">
        <f t="shared" ref="C13:C20" si="15">C12+1</f>
        <v>2</v>
      </c>
      <c r="D13" s="5" t="s">
        <v>82</v>
      </c>
      <c r="E13" s="3" t="b">
        <v>1</v>
      </c>
      <c r="F13" s="3" t="b">
        <v>1</v>
      </c>
      <c r="G13" s="3" t="b">
        <v>1</v>
      </c>
      <c r="H13" s="3" t="b">
        <v>0</v>
      </c>
      <c r="I13" s="3" t="b">
        <v>0</v>
      </c>
      <c r="J13" s="3" t="b">
        <v>0</v>
      </c>
      <c r="K13" s="3" t="b">
        <v>1</v>
      </c>
      <c r="L13" s="3" t="b">
        <v>1</v>
      </c>
      <c r="M13" s="3" t="b">
        <v>1</v>
      </c>
      <c r="N13" s="3" t="b">
        <v>1</v>
      </c>
      <c r="O13" s="3" t="b">
        <v>1</v>
      </c>
      <c r="Q13" t="str">
        <f t="shared" si="12"/>
        <v xml:space="preserve">true, </v>
      </c>
      <c r="R13" t="str">
        <f t="shared" si="2"/>
        <v xml:space="preserve">true, </v>
      </c>
      <c r="S13" t="str">
        <f t="shared" si="3"/>
        <v xml:space="preserve">true, </v>
      </c>
      <c r="T13" t="str">
        <f t="shared" si="4"/>
        <v xml:space="preserve">false, </v>
      </c>
      <c r="U13" t="str">
        <f t="shared" si="5"/>
        <v xml:space="preserve">false, </v>
      </c>
      <c r="V13" t="str">
        <f t="shared" si="6"/>
        <v xml:space="preserve">false, </v>
      </c>
      <c r="W13" t="str">
        <f t="shared" si="7"/>
        <v xml:space="preserve">true, </v>
      </c>
      <c r="X13" t="str">
        <f t="shared" si="8"/>
        <v xml:space="preserve">true, </v>
      </c>
      <c r="Y13" t="str">
        <f t="shared" si="9"/>
        <v xml:space="preserve">true, </v>
      </c>
      <c r="Z13" t="str">
        <f t="shared" si="10"/>
        <v xml:space="preserve">true, </v>
      </c>
      <c r="AA13" t="str">
        <f t="shared" si="11"/>
        <v>true</v>
      </c>
      <c r="AC13" t="str">
        <f t="shared" si="13"/>
        <v>[true, true, true, false, false, false, true, true, true, true, true],</v>
      </c>
      <c r="AE13" t="s">
        <v>82</v>
      </c>
      <c r="AG13" t="str">
        <f t="shared" si="14"/>
        <v>[true, true, true, false, false, false, true, true, true, true, true], //  CALEIDO1</v>
      </c>
    </row>
    <row r="14" spans="3:33" x14ac:dyDescent="0.45">
      <c r="C14">
        <f t="shared" si="15"/>
        <v>3</v>
      </c>
      <c r="D14" s="5" t="s">
        <v>83</v>
      </c>
      <c r="E14" s="3" t="b">
        <v>1</v>
      </c>
      <c r="F14" s="3" t="b">
        <v>1</v>
      </c>
      <c r="G14" s="3" t="b">
        <v>1</v>
      </c>
      <c r="H14" s="3" t="b">
        <v>0</v>
      </c>
      <c r="I14" s="3" t="b">
        <v>0</v>
      </c>
      <c r="J14" s="3" t="b">
        <v>0</v>
      </c>
      <c r="K14" s="3" t="b">
        <v>1</v>
      </c>
      <c r="L14" s="3" t="b">
        <v>1</v>
      </c>
      <c r="M14" s="3" t="b">
        <v>1</v>
      </c>
      <c r="N14" s="3" t="b">
        <v>1</v>
      </c>
      <c r="O14" s="3" t="b">
        <v>1</v>
      </c>
      <c r="Q14" t="str">
        <f t="shared" si="12"/>
        <v xml:space="preserve">true, </v>
      </c>
      <c r="R14" t="str">
        <f t="shared" si="2"/>
        <v xml:space="preserve">true, </v>
      </c>
      <c r="S14" t="str">
        <f t="shared" si="3"/>
        <v xml:space="preserve">true, </v>
      </c>
      <c r="T14" t="str">
        <f t="shared" si="4"/>
        <v xml:space="preserve">false, </v>
      </c>
      <c r="U14" t="str">
        <f t="shared" si="5"/>
        <v xml:space="preserve">false, </v>
      </c>
      <c r="V14" t="str">
        <f t="shared" si="6"/>
        <v xml:space="preserve">false, </v>
      </c>
      <c r="W14" t="str">
        <f t="shared" si="7"/>
        <v xml:space="preserve">true, </v>
      </c>
      <c r="X14" t="str">
        <f t="shared" si="8"/>
        <v xml:space="preserve">true, </v>
      </c>
      <c r="Y14" t="str">
        <f t="shared" si="9"/>
        <v xml:space="preserve">true, </v>
      </c>
      <c r="Z14" t="str">
        <f t="shared" si="10"/>
        <v xml:space="preserve">true, </v>
      </c>
      <c r="AA14" t="str">
        <f t="shared" si="11"/>
        <v>true</v>
      </c>
      <c r="AC14" t="str">
        <f t="shared" si="13"/>
        <v>[true, true, true, false, false, false, true, true, true, true, true],</v>
      </c>
      <c r="AE14" t="s">
        <v>83</v>
      </c>
      <c r="AG14" t="str">
        <f t="shared" si="14"/>
        <v>[true, true, true, false, false, false, true, true, true, true, true], //  WAVES</v>
      </c>
    </row>
    <row r="15" spans="3:33" x14ac:dyDescent="0.45">
      <c r="C15">
        <f t="shared" si="15"/>
        <v>4</v>
      </c>
      <c r="D15" s="5" t="s">
        <v>84</v>
      </c>
      <c r="E15" s="3" t="b">
        <v>1</v>
      </c>
      <c r="F15" s="3" t="b">
        <v>1</v>
      </c>
      <c r="G15" s="3" t="b">
        <v>1</v>
      </c>
      <c r="H15" s="3" t="b">
        <v>1</v>
      </c>
      <c r="I15" s="3" t="b">
        <v>1</v>
      </c>
      <c r="J15" s="3" t="b">
        <v>1</v>
      </c>
      <c r="K15" s="3" t="b">
        <v>0</v>
      </c>
      <c r="L15" s="3" t="b">
        <v>1</v>
      </c>
      <c r="M15" s="3" t="b">
        <v>1</v>
      </c>
      <c r="N15" s="3" t="b">
        <v>1</v>
      </c>
      <c r="O15" s="3" t="b">
        <v>1</v>
      </c>
      <c r="Q15" t="str">
        <f t="shared" si="12"/>
        <v xml:space="preserve">true, </v>
      </c>
      <c r="R15" t="str">
        <f t="shared" si="2"/>
        <v xml:space="preserve">true, </v>
      </c>
      <c r="S15" t="str">
        <f t="shared" si="3"/>
        <v xml:space="preserve">true, </v>
      </c>
      <c r="T15" t="str">
        <f t="shared" si="4"/>
        <v xml:space="preserve">true, </v>
      </c>
      <c r="U15" t="str">
        <f t="shared" si="5"/>
        <v xml:space="preserve">true, </v>
      </c>
      <c r="V15" t="str">
        <f t="shared" si="6"/>
        <v xml:space="preserve">true, </v>
      </c>
      <c r="W15" t="str">
        <f t="shared" si="7"/>
        <v xml:space="preserve">false, </v>
      </c>
      <c r="X15" t="str">
        <f t="shared" si="8"/>
        <v xml:space="preserve">true, </v>
      </c>
      <c r="Y15" t="str">
        <f t="shared" si="9"/>
        <v xml:space="preserve">true, </v>
      </c>
      <c r="Z15" t="str">
        <f t="shared" si="10"/>
        <v xml:space="preserve">true, </v>
      </c>
      <c r="AA15" t="str">
        <f t="shared" si="11"/>
        <v>true</v>
      </c>
      <c r="AC15" t="str">
        <f t="shared" si="13"/>
        <v>[true, true, true, true, true, true, false, true, true, true, true],</v>
      </c>
      <c r="AE15" t="s">
        <v>84</v>
      </c>
      <c r="AG15" t="str">
        <f t="shared" si="14"/>
        <v>[true, true, true, true, true, true, false, true, true, true, true], //  CHASING_SPIRALS</v>
      </c>
    </row>
    <row r="16" spans="3:33" x14ac:dyDescent="0.45">
      <c r="C16">
        <f t="shared" si="15"/>
        <v>5</v>
      </c>
      <c r="D16" s="5" t="s">
        <v>85</v>
      </c>
      <c r="E16" s="3" t="b">
        <v>1</v>
      </c>
      <c r="F16" s="3" t="b">
        <v>1</v>
      </c>
      <c r="G16" s="3" t="b">
        <v>1</v>
      </c>
      <c r="H16" s="3" t="b">
        <v>1</v>
      </c>
      <c r="I16" s="3" t="b">
        <v>1</v>
      </c>
      <c r="J16" s="3" t="b">
        <v>1</v>
      </c>
      <c r="K16" s="3" t="b">
        <v>1</v>
      </c>
      <c r="L16" s="3" t="b">
        <v>1</v>
      </c>
      <c r="M16" s="3" t="b">
        <v>1</v>
      </c>
      <c r="N16" s="3" t="b">
        <v>0</v>
      </c>
      <c r="O16" s="3" t="b">
        <v>0</v>
      </c>
      <c r="Q16" t="str">
        <f t="shared" si="12"/>
        <v xml:space="preserve">true, </v>
      </c>
      <c r="R16" t="str">
        <f t="shared" si="2"/>
        <v xml:space="preserve">true, </v>
      </c>
      <c r="S16" t="str">
        <f t="shared" si="3"/>
        <v xml:space="preserve">true, </v>
      </c>
      <c r="T16" t="str">
        <f t="shared" si="4"/>
        <v xml:space="preserve">true, </v>
      </c>
      <c r="U16" t="str">
        <f t="shared" si="5"/>
        <v xml:space="preserve">true, </v>
      </c>
      <c r="V16" t="str">
        <f t="shared" si="6"/>
        <v xml:space="preserve">true, </v>
      </c>
      <c r="W16" t="str">
        <f t="shared" si="7"/>
        <v xml:space="preserve">true, </v>
      </c>
      <c r="X16" t="str">
        <f t="shared" si="8"/>
        <v xml:space="preserve">true, </v>
      </c>
      <c r="Y16" t="str">
        <f t="shared" si="9"/>
        <v xml:space="preserve">true, </v>
      </c>
      <c r="Z16" t="str">
        <f t="shared" si="10"/>
        <v xml:space="preserve">false, </v>
      </c>
      <c r="AA16" t="str">
        <f t="shared" si="11"/>
        <v>false</v>
      </c>
      <c r="AC16" t="str">
        <f t="shared" si="13"/>
        <v>[true, true, true, true, true, true, true, true, true, false, false],</v>
      </c>
      <c r="AE16" t="s">
        <v>85</v>
      </c>
      <c r="AG16" t="str">
        <f t="shared" si="14"/>
        <v>[true, true, true, true, true, true, true, true, true, false, false], //  COMPLEX_KALEIDO_6</v>
      </c>
    </row>
    <row r="17" spans="3:33" x14ac:dyDescent="0.45">
      <c r="C17">
        <f t="shared" si="15"/>
        <v>6</v>
      </c>
      <c r="D17" s="5" t="s">
        <v>86</v>
      </c>
      <c r="E17" s="3" t="b">
        <v>1</v>
      </c>
      <c r="F17" s="3" t="b">
        <v>1</v>
      </c>
      <c r="G17" s="3" t="b">
        <v>1</v>
      </c>
      <c r="H17" s="3" t="b">
        <v>0</v>
      </c>
      <c r="I17" s="3" t="b">
        <v>0</v>
      </c>
      <c r="J17" s="3" t="b">
        <v>0</v>
      </c>
      <c r="K17" s="3" t="b">
        <v>1</v>
      </c>
      <c r="L17" s="3" t="b">
        <v>1</v>
      </c>
      <c r="M17" s="3" t="b">
        <v>1</v>
      </c>
      <c r="N17" s="3" t="b">
        <v>0</v>
      </c>
      <c r="O17" s="3" t="b">
        <v>0</v>
      </c>
      <c r="Q17" t="str">
        <f t="shared" si="12"/>
        <v xml:space="preserve">true, </v>
      </c>
      <c r="R17" t="str">
        <f t="shared" si="2"/>
        <v xml:space="preserve">true, </v>
      </c>
      <c r="S17" t="str">
        <f t="shared" si="3"/>
        <v xml:space="preserve">true, </v>
      </c>
      <c r="T17" t="str">
        <f t="shared" si="4"/>
        <v xml:space="preserve">false, </v>
      </c>
      <c r="U17" t="str">
        <f t="shared" si="5"/>
        <v xml:space="preserve">false, </v>
      </c>
      <c r="V17" t="str">
        <f t="shared" si="6"/>
        <v xml:space="preserve">false, </v>
      </c>
      <c r="W17" t="str">
        <f t="shared" si="7"/>
        <v xml:space="preserve">true, </v>
      </c>
      <c r="X17" t="str">
        <f t="shared" si="8"/>
        <v xml:space="preserve">true, </v>
      </c>
      <c r="Y17" t="str">
        <f t="shared" si="9"/>
        <v xml:space="preserve">true, </v>
      </c>
      <c r="Z17" t="str">
        <f t="shared" si="10"/>
        <v xml:space="preserve">false, </v>
      </c>
      <c r="AA17" t="str">
        <f t="shared" si="11"/>
        <v>false</v>
      </c>
      <c r="AC17" t="str">
        <f t="shared" si="13"/>
        <v>[true, true, true, false, false, false, true, true, true, false, false],</v>
      </c>
      <c r="AE17" t="s">
        <v>86</v>
      </c>
      <c r="AG17" t="str">
        <f t="shared" si="14"/>
        <v>[true, true, true, false, false, false, true, true, true, false, false], //  WATER</v>
      </c>
    </row>
    <row r="18" spans="3:33" x14ac:dyDescent="0.45">
      <c r="C18">
        <f t="shared" si="15"/>
        <v>7</v>
      </c>
      <c r="D18" s="5" t="s">
        <v>87</v>
      </c>
      <c r="E18" s="3" t="b">
        <v>1</v>
      </c>
      <c r="F18" s="3" t="b">
        <v>1</v>
      </c>
      <c r="G18" s="3" t="b">
        <v>1</v>
      </c>
      <c r="H18" s="3" t="b">
        <v>0</v>
      </c>
      <c r="I18" s="3" t="b">
        <v>0</v>
      </c>
      <c r="J18" s="3" t="b">
        <v>0</v>
      </c>
      <c r="K18" s="3" t="b">
        <v>1</v>
      </c>
      <c r="L18" s="3" t="b">
        <v>1</v>
      </c>
      <c r="M18" s="3" t="b">
        <v>1</v>
      </c>
      <c r="N18" s="3" t="b">
        <v>0</v>
      </c>
      <c r="O18" s="3" t="b">
        <v>0</v>
      </c>
      <c r="Q18" t="str">
        <f t="shared" si="12"/>
        <v xml:space="preserve">true, </v>
      </c>
      <c r="R18" t="str">
        <f t="shared" si="2"/>
        <v xml:space="preserve">true, </v>
      </c>
      <c r="S18" t="str">
        <f t="shared" si="3"/>
        <v xml:space="preserve">true, </v>
      </c>
      <c r="T18" t="str">
        <f t="shared" si="4"/>
        <v xml:space="preserve">false, </v>
      </c>
      <c r="U18" t="str">
        <f t="shared" si="5"/>
        <v xml:space="preserve">false, </v>
      </c>
      <c r="V18" t="str">
        <f t="shared" si="6"/>
        <v xml:space="preserve">false, </v>
      </c>
      <c r="W18" t="str">
        <f t="shared" si="7"/>
        <v xml:space="preserve">true, </v>
      </c>
      <c r="X18" t="str">
        <f t="shared" si="8"/>
        <v xml:space="preserve">true, </v>
      </c>
      <c r="Y18" t="str">
        <f t="shared" si="9"/>
        <v xml:space="preserve">true, </v>
      </c>
      <c r="Z18" t="str">
        <f t="shared" si="10"/>
        <v xml:space="preserve">false, </v>
      </c>
      <c r="AA18" t="str">
        <f t="shared" si="11"/>
        <v>false</v>
      </c>
      <c r="AC18" t="str">
        <f t="shared" si="13"/>
        <v>[true, true, true, false, false, false, true, true, true, false, false],</v>
      </c>
      <c r="AE18" t="s">
        <v>87</v>
      </c>
      <c r="AG18" t="str">
        <f t="shared" si="14"/>
        <v>[true, true, true, false, false, false, true, true, true, false, false], //  EXPERIMENT10</v>
      </c>
    </row>
    <row r="19" spans="3:33" x14ac:dyDescent="0.45">
      <c r="C19">
        <f t="shared" si="15"/>
        <v>8</v>
      </c>
      <c r="D19" s="5" t="s">
        <v>88</v>
      </c>
      <c r="E19" s="3" t="b">
        <v>1</v>
      </c>
      <c r="F19" s="3" t="b">
        <v>1</v>
      </c>
      <c r="G19" s="3" t="b">
        <v>1</v>
      </c>
      <c r="H19" s="3" t="b">
        <v>0</v>
      </c>
      <c r="I19" s="3" t="b">
        <v>1</v>
      </c>
      <c r="J19" s="3" t="b">
        <v>1</v>
      </c>
      <c r="K19" s="3" t="b">
        <v>1</v>
      </c>
      <c r="L19" s="3" t="b">
        <v>1</v>
      </c>
      <c r="M19" s="3" t="b">
        <v>1</v>
      </c>
      <c r="N19" s="3" t="b">
        <v>1</v>
      </c>
      <c r="O19" s="3" t="b">
        <v>1</v>
      </c>
      <c r="Q19" t="str">
        <f t="shared" si="12"/>
        <v xml:space="preserve">true, </v>
      </c>
      <c r="R19" t="str">
        <f t="shared" si="2"/>
        <v xml:space="preserve">true, </v>
      </c>
      <c r="S19" t="str">
        <f t="shared" si="3"/>
        <v xml:space="preserve">true, </v>
      </c>
      <c r="T19" t="str">
        <f t="shared" si="4"/>
        <v xml:space="preserve">false, </v>
      </c>
      <c r="U19" t="str">
        <f t="shared" si="5"/>
        <v xml:space="preserve">true, </v>
      </c>
      <c r="V19" t="str">
        <f t="shared" si="6"/>
        <v xml:space="preserve">true, </v>
      </c>
      <c r="W19" t="str">
        <f t="shared" si="7"/>
        <v xml:space="preserve">true, </v>
      </c>
      <c r="X19" t="str">
        <f t="shared" si="8"/>
        <v xml:space="preserve">true, </v>
      </c>
      <c r="Y19" t="str">
        <f t="shared" si="9"/>
        <v xml:space="preserve">true, </v>
      </c>
      <c r="Z19" t="str">
        <f t="shared" si="10"/>
        <v xml:space="preserve">true, </v>
      </c>
      <c r="AA19" t="str">
        <f t="shared" si="11"/>
        <v>true</v>
      </c>
      <c r="AC19" t="str">
        <f t="shared" si="13"/>
        <v>[true, true, true, false, true, true, true, true, true, true, true],</v>
      </c>
      <c r="AE19" t="s">
        <v>88</v>
      </c>
      <c r="AG19" t="str">
        <f t="shared" si="14"/>
        <v>[true, true, true, false, true, true, true, true, true, true, true], //  EXPERIMENT_SM1</v>
      </c>
    </row>
    <row r="20" spans="3:33" x14ac:dyDescent="0.45">
      <c r="C20">
        <f t="shared" si="15"/>
        <v>9</v>
      </c>
      <c r="D20" s="5" t="s">
        <v>89</v>
      </c>
      <c r="E20" s="3" t="b">
        <v>1</v>
      </c>
      <c r="F20" s="3" t="b">
        <v>1</v>
      </c>
      <c r="G20" s="3" t="b">
        <v>1</v>
      </c>
      <c r="H20" s="3" t="b">
        <v>0</v>
      </c>
      <c r="I20" s="3" t="b">
        <v>1</v>
      </c>
      <c r="J20" s="3" t="b">
        <v>1</v>
      </c>
      <c r="K20" s="3" t="b">
        <v>1</v>
      </c>
      <c r="L20" s="3" t="b">
        <v>1</v>
      </c>
      <c r="M20" s="3" t="b">
        <v>1</v>
      </c>
      <c r="N20" s="3" t="b">
        <v>1</v>
      </c>
      <c r="O20" s="3" t="b">
        <v>1</v>
      </c>
      <c r="Q20" t="str">
        <f t="shared" si="12"/>
        <v xml:space="preserve">true, </v>
      </c>
      <c r="R20" t="str">
        <f t="shared" si="2"/>
        <v xml:space="preserve">true, </v>
      </c>
      <c r="S20" t="str">
        <f t="shared" si="3"/>
        <v xml:space="preserve">true, </v>
      </c>
      <c r="T20" t="str">
        <f t="shared" si="4"/>
        <v xml:space="preserve">false, </v>
      </c>
      <c r="U20" t="str">
        <f t="shared" si="5"/>
        <v xml:space="preserve">true, </v>
      </c>
      <c r="V20" t="str">
        <f t="shared" si="6"/>
        <v xml:space="preserve">true, </v>
      </c>
      <c r="W20" t="str">
        <f t="shared" si="7"/>
        <v xml:space="preserve">true, </v>
      </c>
      <c r="X20" t="str">
        <f t="shared" si="8"/>
        <v xml:space="preserve">true, </v>
      </c>
      <c r="Y20" t="str">
        <f t="shared" si="9"/>
        <v xml:space="preserve">true, </v>
      </c>
      <c r="Z20" t="str">
        <f t="shared" si="10"/>
        <v xml:space="preserve">true, </v>
      </c>
      <c r="AA20" t="str">
        <f t="shared" si="11"/>
        <v>true</v>
      </c>
      <c r="AC20" t="str">
        <f t="shared" si="13"/>
        <v>[true, true, true, false, true, true, true, true, true, true, true],</v>
      </c>
      <c r="AE20" t="s">
        <v>89</v>
      </c>
      <c r="AG20" t="str">
        <f t="shared" si="14"/>
        <v>[true, true, true, false, true, true, true, true, true, true, true], //  TEST</v>
      </c>
    </row>
    <row r="24" spans="3:33" x14ac:dyDescent="0.45">
      <c r="L24" s="3" t="s">
        <v>150</v>
      </c>
    </row>
    <row r="25" spans="3:33" x14ac:dyDescent="0.45">
      <c r="E25" s="6" t="s">
        <v>56</v>
      </c>
      <c r="F25" s="3" t="str">
        <f>E25&amp;", "</f>
        <v xml:space="preserve">Zoom, </v>
      </c>
    </row>
    <row r="26" spans="3:33" x14ac:dyDescent="0.45">
      <c r="E26" s="6" t="s">
        <v>57</v>
      </c>
      <c r="F26" s="3" t="str">
        <f t="shared" ref="F26:F35" si="16">E26&amp;", "</f>
        <v xml:space="preserve">Scale, </v>
      </c>
      <c r="H26" s="4" t="s">
        <v>140</v>
      </c>
      <c r="K26" s="4" t="str">
        <f>_xlfn.TEXTBEFORE(H26,": ")</f>
        <v>twist</v>
      </c>
      <c r="L26" s="5" t="str">
        <f>$L$24&amp;K26&amp;$L$24&amp;","</f>
        <v>"twist",</v>
      </c>
    </row>
    <row r="27" spans="3:33" x14ac:dyDescent="0.45">
      <c r="E27" s="6" t="s">
        <v>58</v>
      </c>
      <c r="F27" s="3" t="str">
        <f t="shared" si="16"/>
        <v xml:space="preserve">Angle, </v>
      </c>
      <c r="H27" s="4" t="s">
        <v>141</v>
      </c>
      <c r="K27" s="4" t="str">
        <f t="shared" ref="K27:K35" si="17">_xlfn.TEXTBEFORE(H27,": ")</f>
        <v>ratBase</v>
      </c>
      <c r="L27" s="5" t="str">
        <f t="shared" ref="L27:L35" si="18">$L$24&amp;K27&amp;$L$24&amp;","</f>
        <v>"ratBase",</v>
      </c>
    </row>
    <row r="28" spans="3:33" x14ac:dyDescent="0.45">
      <c r="E28" s="6" t="s">
        <v>93</v>
      </c>
      <c r="F28" s="3" t="str">
        <f t="shared" si="16"/>
        <v xml:space="preserve">Twist, </v>
      </c>
      <c r="H28" s="4" t="s">
        <v>142</v>
      </c>
      <c r="K28" s="4" t="str">
        <f t="shared" si="17"/>
        <v>ratDiff</v>
      </c>
      <c r="L28" s="5" t="str">
        <f t="shared" si="18"/>
        <v>"ratDiff",</v>
      </c>
    </row>
    <row r="29" spans="3:33" x14ac:dyDescent="0.45">
      <c r="E29" s="6" t="s">
        <v>59</v>
      </c>
      <c r="F29" s="3" t="str">
        <f t="shared" si="16"/>
        <v xml:space="preserve">Radius, </v>
      </c>
      <c r="H29" s="4" t="s">
        <v>143</v>
      </c>
      <c r="K29" s="4" t="str">
        <f t="shared" si="17"/>
        <v>offBase</v>
      </c>
      <c r="L29" s="5" t="str">
        <f t="shared" si="18"/>
        <v>"offBase",</v>
      </c>
    </row>
    <row r="30" spans="3:33" x14ac:dyDescent="0.45">
      <c r="E30" s="6" t="s">
        <v>60</v>
      </c>
      <c r="F30" s="3" t="str">
        <f t="shared" si="16"/>
        <v xml:space="preserve">Edge, </v>
      </c>
      <c r="H30" s="4" t="s">
        <v>144</v>
      </c>
      <c r="K30" s="4" t="str">
        <f t="shared" si="17"/>
        <v>offDiff</v>
      </c>
      <c r="L30" s="5" t="str">
        <f t="shared" si="18"/>
        <v>"offDiff",</v>
      </c>
    </row>
    <row r="31" spans="3:33" x14ac:dyDescent="0.45">
      <c r="E31" s="6" t="s">
        <v>61</v>
      </c>
      <c r="F31" s="3" t="str">
        <f t="shared" si="16"/>
        <v xml:space="preserve">Z, </v>
      </c>
      <c r="H31" s="4" t="s">
        <v>145</v>
      </c>
      <c r="K31" s="4" t="str">
        <f t="shared" si="17"/>
        <v>customA</v>
      </c>
      <c r="L31" s="5" t="str">
        <f t="shared" si="18"/>
        <v>"customA",</v>
      </c>
    </row>
    <row r="32" spans="3:33" x14ac:dyDescent="0.45">
      <c r="E32" s="6" t="s">
        <v>62</v>
      </c>
      <c r="F32" s="3" t="str">
        <f t="shared" si="16"/>
        <v xml:space="preserve">RatBase, </v>
      </c>
      <c r="H32" s="4" t="s">
        <v>146</v>
      </c>
      <c r="K32" s="4" t="str">
        <f t="shared" si="17"/>
        <v>customB</v>
      </c>
      <c r="L32" s="5" t="str">
        <f t="shared" si="18"/>
        <v>"customB",</v>
      </c>
    </row>
    <row r="33" spans="5:12" x14ac:dyDescent="0.45">
      <c r="E33" s="6" t="s">
        <v>63</v>
      </c>
      <c r="F33" s="3" t="str">
        <f t="shared" si="16"/>
        <v xml:space="preserve">RatDiff, </v>
      </c>
      <c r="H33" s="4" t="s">
        <v>147</v>
      </c>
      <c r="K33" s="4" t="str">
        <f t="shared" si="17"/>
        <v>customC</v>
      </c>
      <c r="L33" s="5" t="str">
        <f t="shared" si="18"/>
        <v>"customC",</v>
      </c>
    </row>
    <row r="34" spans="5:12" x14ac:dyDescent="0.45">
      <c r="E34" s="6" t="s">
        <v>64</v>
      </c>
      <c r="F34" s="3" t="str">
        <f t="shared" si="16"/>
        <v xml:space="preserve">OffBase, </v>
      </c>
      <c r="H34" s="4" t="s">
        <v>148</v>
      </c>
      <c r="K34" s="4" t="str">
        <f t="shared" si="17"/>
        <v>customD</v>
      </c>
      <c r="L34" s="5" t="str">
        <f t="shared" si="18"/>
        <v>"customD",</v>
      </c>
    </row>
    <row r="35" spans="5:12" x14ac:dyDescent="0.45">
      <c r="E35" s="6" t="s">
        <v>65</v>
      </c>
      <c r="F35" s="3" t="str">
        <f t="shared" si="16"/>
        <v xml:space="preserve">OffDiff, </v>
      </c>
      <c r="H35" s="4" t="s">
        <v>149</v>
      </c>
      <c r="K35" s="4" t="str">
        <f t="shared" si="17"/>
        <v>customE</v>
      </c>
      <c r="L35" s="5" t="str">
        <f t="shared" si="18"/>
        <v>"customE",</v>
      </c>
    </row>
    <row r="38" spans="5:12" x14ac:dyDescent="0.45">
      <c r="F38" s="3" t="str">
        <f>_xlfn.CONCAT(F25:F35)</f>
        <v xml:space="preserve">Zoom, Scale, Angle, Twist, Radius, Edge, Z, RatBase, RatDiff, OffBase, OffDiff, </v>
      </c>
      <c r="L38" s="3" t="str">
        <f>_xlfn.CONCAT(L27:L35)</f>
        <v>"ratBase","ratDiff","offBase","offDiff","customA","customB","customC","customD","customE",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CC78-221A-4681-85C1-828B806BC167}">
  <dimension ref="B2:I20"/>
  <sheetViews>
    <sheetView workbookViewId="0">
      <selection activeCell="I4" sqref="I4:I20"/>
    </sheetView>
  </sheetViews>
  <sheetFormatPr defaultRowHeight="14.25" x14ac:dyDescent="0.45"/>
  <cols>
    <col min="2" max="2" width="14.6640625" bestFit="1" customWidth="1"/>
  </cols>
  <sheetData>
    <row r="2" spans="2:9" x14ac:dyDescent="0.45">
      <c r="I2" t="s">
        <v>274</v>
      </c>
    </row>
    <row r="4" spans="2:9" x14ac:dyDescent="0.45">
      <c r="B4" t="s">
        <v>257</v>
      </c>
      <c r="C4" t="str">
        <f>TRIM(B4)</f>
        <v>uint8_t pBright;</v>
      </c>
      <c r="E4" t="str">
        <f>_xlfn.TEXTBEFORE(C4," ")</f>
        <v>uint8_t</v>
      </c>
      <c r="G4" t="s">
        <v>53</v>
      </c>
      <c r="I4" t="str">
        <f>"X("&amp;E4&amp;", "&amp;G4&amp;", 1.0f) \"</f>
        <v>X(uint8_t, Bright, 1.0f) \</v>
      </c>
    </row>
    <row r="5" spans="2:9" x14ac:dyDescent="0.45">
      <c r="B5" t="s">
        <v>258</v>
      </c>
      <c r="C5" t="str">
        <f t="shared" ref="C5:C20" si="0">TRIM(B5)</f>
        <v>uint8_t pColOrd;</v>
      </c>
      <c r="E5" t="str">
        <f t="shared" ref="E5:E20" si="1">_xlfn.TEXTBEFORE(C5," ")</f>
        <v>uint8_t</v>
      </c>
      <c r="G5" t="s">
        <v>54</v>
      </c>
      <c r="I5" t="str">
        <f t="shared" ref="I5:I20" si="2">"X("&amp;E5&amp;", "&amp;G5&amp;", 1.0f) \"</f>
        <v>X(uint8_t, ColOrd, 1.0f) \</v>
      </c>
    </row>
    <row r="6" spans="2:9" x14ac:dyDescent="0.45">
      <c r="B6" t="s">
        <v>259</v>
      </c>
      <c r="C6" t="str">
        <f t="shared" si="0"/>
        <v>float pSpeed;</v>
      </c>
      <c r="E6" t="str">
        <f t="shared" si="1"/>
        <v>float</v>
      </c>
      <c r="G6" t="s">
        <v>55</v>
      </c>
      <c r="I6" t="str">
        <f t="shared" si="2"/>
        <v>X(float, Speed, 1.0f) \</v>
      </c>
    </row>
    <row r="7" spans="2:9" x14ac:dyDescent="0.45">
      <c r="B7" t="s">
        <v>260</v>
      </c>
      <c r="C7" t="str">
        <f t="shared" si="0"/>
        <v>float pZoom;</v>
      </c>
      <c r="E7" t="str">
        <f t="shared" si="1"/>
        <v>float</v>
      </c>
      <c r="G7" t="s">
        <v>56</v>
      </c>
      <c r="I7" t="str">
        <f t="shared" si="2"/>
        <v>X(float, Zoom, 1.0f) \</v>
      </c>
    </row>
    <row r="8" spans="2:9" x14ac:dyDescent="0.45">
      <c r="B8" t="s">
        <v>261</v>
      </c>
      <c r="C8" t="str">
        <f t="shared" si="0"/>
        <v>float pScale;</v>
      </c>
      <c r="E8" t="str">
        <f t="shared" si="1"/>
        <v>float</v>
      </c>
      <c r="G8" t="s">
        <v>57</v>
      </c>
      <c r="I8" t="str">
        <f t="shared" si="2"/>
        <v>X(float, Scale, 1.0f) \</v>
      </c>
    </row>
    <row r="9" spans="2:9" x14ac:dyDescent="0.45">
      <c r="B9" t="s">
        <v>262</v>
      </c>
      <c r="C9" t="str">
        <f t="shared" si="0"/>
        <v>float pAngle;</v>
      </c>
      <c r="E9" t="str">
        <f t="shared" si="1"/>
        <v>float</v>
      </c>
      <c r="G9" t="s">
        <v>58</v>
      </c>
      <c r="I9" t="str">
        <f t="shared" si="2"/>
        <v>X(float, Angle, 1.0f) \</v>
      </c>
    </row>
    <row r="10" spans="2:9" x14ac:dyDescent="0.45">
      <c r="B10" t="s">
        <v>263</v>
      </c>
      <c r="C10" t="str">
        <f t="shared" si="0"/>
        <v>float pTwist;</v>
      </c>
      <c r="E10" t="str">
        <f t="shared" si="1"/>
        <v>float</v>
      </c>
      <c r="G10" t="s">
        <v>93</v>
      </c>
      <c r="I10" t="str">
        <f t="shared" si="2"/>
        <v>X(float, Twist, 1.0f) \</v>
      </c>
    </row>
    <row r="11" spans="2:9" x14ac:dyDescent="0.45">
      <c r="B11" t="s">
        <v>264</v>
      </c>
      <c r="C11" t="str">
        <f t="shared" si="0"/>
        <v>float pRadius;</v>
      </c>
      <c r="E11" t="str">
        <f t="shared" si="1"/>
        <v>float</v>
      </c>
      <c r="G11" t="s">
        <v>59</v>
      </c>
      <c r="I11" t="str">
        <f t="shared" si="2"/>
        <v>X(float, Radius, 1.0f) \</v>
      </c>
    </row>
    <row r="12" spans="2:9" x14ac:dyDescent="0.45">
      <c r="B12" t="s">
        <v>265</v>
      </c>
      <c r="C12" t="str">
        <f t="shared" si="0"/>
        <v>float pEdge;</v>
      </c>
      <c r="E12" t="str">
        <f t="shared" si="1"/>
        <v>float</v>
      </c>
      <c r="G12" t="s">
        <v>60</v>
      </c>
      <c r="I12" t="str">
        <f t="shared" si="2"/>
        <v>X(float, Edge, 1.0f) \</v>
      </c>
    </row>
    <row r="13" spans="2:9" x14ac:dyDescent="0.45">
      <c r="B13" t="s">
        <v>266</v>
      </c>
      <c r="C13" t="str">
        <f t="shared" si="0"/>
        <v>float pZ;</v>
      </c>
      <c r="E13" t="str">
        <f t="shared" si="1"/>
        <v>float</v>
      </c>
      <c r="G13" t="s">
        <v>61</v>
      </c>
      <c r="I13" t="str">
        <f t="shared" si="2"/>
        <v>X(float, Z, 1.0f) \</v>
      </c>
    </row>
    <row r="14" spans="2:9" x14ac:dyDescent="0.45">
      <c r="B14" t="s">
        <v>267</v>
      </c>
      <c r="C14" t="str">
        <f t="shared" si="0"/>
        <v>float pRatBase;</v>
      </c>
      <c r="E14" t="str">
        <f t="shared" si="1"/>
        <v>float</v>
      </c>
      <c r="G14" t="s">
        <v>62</v>
      </c>
      <c r="I14" t="str">
        <f t="shared" si="2"/>
        <v>X(float, RatBase, 1.0f) \</v>
      </c>
    </row>
    <row r="15" spans="2:9" x14ac:dyDescent="0.45">
      <c r="B15" t="s">
        <v>268</v>
      </c>
      <c r="C15" t="str">
        <f t="shared" si="0"/>
        <v>float pRatDiff;</v>
      </c>
      <c r="E15" t="str">
        <f t="shared" si="1"/>
        <v>float</v>
      </c>
      <c r="G15" t="s">
        <v>63</v>
      </c>
      <c r="I15" t="str">
        <f t="shared" si="2"/>
        <v>X(float, RatDiff, 1.0f) \</v>
      </c>
    </row>
    <row r="16" spans="2:9" x14ac:dyDescent="0.45">
      <c r="B16" t="s">
        <v>269</v>
      </c>
      <c r="C16" t="str">
        <f t="shared" si="0"/>
        <v>float pOffBase;</v>
      </c>
      <c r="E16" t="str">
        <f t="shared" si="1"/>
        <v>float</v>
      </c>
      <c r="G16" t="s">
        <v>64</v>
      </c>
      <c r="I16" t="str">
        <f t="shared" si="2"/>
        <v>X(float, OffBase, 1.0f) \</v>
      </c>
    </row>
    <row r="17" spans="2:9" x14ac:dyDescent="0.45">
      <c r="B17" t="s">
        <v>270</v>
      </c>
      <c r="C17" t="str">
        <f t="shared" si="0"/>
        <v>float pOffDiff;</v>
      </c>
      <c r="E17" t="str">
        <f t="shared" si="1"/>
        <v>float</v>
      </c>
      <c r="G17" t="s">
        <v>65</v>
      </c>
      <c r="I17" t="str">
        <f t="shared" si="2"/>
        <v>X(float, OffDiff, 1.0f) \</v>
      </c>
    </row>
    <row r="18" spans="2:9" x14ac:dyDescent="0.45">
      <c r="B18" t="s">
        <v>271</v>
      </c>
      <c r="C18" t="str">
        <f t="shared" si="0"/>
        <v>float pRed;</v>
      </c>
      <c r="E18" t="str">
        <f t="shared" si="1"/>
        <v>float</v>
      </c>
      <c r="G18" t="s">
        <v>66</v>
      </c>
      <c r="I18" t="str">
        <f t="shared" si="2"/>
        <v>X(float, Red, 1.0f) \</v>
      </c>
    </row>
    <row r="19" spans="2:9" x14ac:dyDescent="0.45">
      <c r="B19" t="s">
        <v>272</v>
      </c>
      <c r="C19" t="str">
        <f t="shared" si="0"/>
        <v>float pGreen;</v>
      </c>
      <c r="E19" t="str">
        <f t="shared" si="1"/>
        <v>float</v>
      </c>
      <c r="G19" t="s">
        <v>67</v>
      </c>
      <c r="I19" t="str">
        <f t="shared" si="2"/>
        <v>X(float, Green, 1.0f) \</v>
      </c>
    </row>
    <row r="20" spans="2:9" x14ac:dyDescent="0.45">
      <c r="B20" t="s">
        <v>273</v>
      </c>
      <c r="C20" t="str">
        <f t="shared" si="0"/>
        <v>float pBlue;</v>
      </c>
      <c r="E20" t="str">
        <f t="shared" si="1"/>
        <v>float</v>
      </c>
      <c r="G20" t="s">
        <v>68</v>
      </c>
      <c r="I20" t="str">
        <f t="shared" si="2"/>
        <v>X(float, Blue, 1.0f) \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95852-14F0-4CF2-B205-EF42FE227870}">
  <dimension ref="D5:T17"/>
  <sheetViews>
    <sheetView tabSelected="1" workbookViewId="0">
      <selection activeCell="D8" sqref="D8"/>
    </sheetView>
  </sheetViews>
  <sheetFormatPr defaultRowHeight="14.25" x14ac:dyDescent="0.45"/>
  <cols>
    <col min="8" max="8" width="18" bestFit="1" customWidth="1"/>
    <col min="9" max="9" width="11.73046875" bestFit="1" customWidth="1"/>
    <col min="10" max="10" width="11.59765625" customWidth="1"/>
    <col min="12" max="12" width="21.9296875" customWidth="1"/>
    <col min="13" max="13" width="34.796875" customWidth="1"/>
  </cols>
  <sheetData>
    <row r="5" spans="4:20" x14ac:dyDescent="0.45">
      <c r="L5" t="s">
        <v>284</v>
      </c>
    </row>
    <row r="7" spans="4:20" x14ac:dyDescent="0.45">
      <c r="L7" t="s">
        <v>285</v>
      </c>
      <c r="M7" t="s">
        <v>286</v>
      </c>
      <c r="N7" t="s">
        <v>287</v>
      </c>
    </row>
    <row r="8" spans="4:20" x14ac:dyDescent="0.45">
      <c r="D8" t="s">
        <v>275</v>
      </c>
      <c r="G8">
        <v>20</v>
      </c>
      <c r="H8" t="str">
        <f>_xlfn.TEXTAFTER(D8,"ool, ")</f>
        <v>AngleFreezeX, false) \</v>
      </c>
      <c r="I8" t="str">
        <f>_xlfn.TEXTBEFORE(H8,",")</f>
        <v>AngleFreezeX</v>
      </c>
      <c r="J8" t="str">
        <f>"c"&amp;I8</f>
        <v>cAngleFreezeX</v>
      </c>
      <c r="L8" t="str">
        <f>$L$7&amp;G8</f>
        <v>if (receivedID == "cx20</v>
      </c>
      <c r="M8" t="str">
        <f>L8&amp;$M$7&amp;J8</f>
        <v>if (receivedID == "cx20") {cAngleFreezeX</v>
      </c>
      <c r="N8" t="str">
        <f>M8&amp;$N$7</f>
        <v>if (receivedID == "cx20") {cAngleFreezeX = receivedValue;};</v>
      </c>
      <c r="T8" t="s">
        <v>288</v>
      </c>
    </row>
    <row r="9" spans="4:20" x14ac:dyDescent="0.45">
      <c r="D9" t="s">
        <v>275</v>
      </c>
      <c r="G9">
        <f>G8+1</f>
        <v>21</v>
      </c>
      <c r="H9" t="str">
        <f t="shared" ref="H9:H17" si="0">_xlfn.TEXTAFTER(D9,"ool, ")</f>
        <v>AngleFreezeX, false) \</v>
      </c>
      <c r="I9" t="str">
        <f t="shared" ref="I9:I17" si="1">_xlfn.TEXTBEFORE(H9,",")</f>
        <v>AngleFreezeX</v>
      </c>
      <c r="J9" t="str">
        <f t="shared" ref="J9:J17" si="2">"c"&amp;I9</f>
        <v>cAngleFreezeX</v>
      </c>
      <c r="L9" t="str">
        <f t="shared" ref="L9:L17" si="3">$L$7&amp;G9</f>
        <v>if (receivedID == "cx21</v>
      </c>
      <c r="M9" t="str">
        <f t="shared" ref="M9:M17" si="4">L9&amp;$M$7&amp;J9</f>
        <v>if (receivedID == "cx21") {cAngleFreezeX</v>
      </c>
      <c r="N9" t="str">
        <f t="shared" ref="N9:N17" si="5">M9&amp;$N$7</f>
        <v>if (receivedID == "cx21") {cAngleFreezeX = receivedValue;};</v>
      </c>
      <c r="T9" t="s">
        <v>289</v>
      </c>
    </row>
    <row r="10" spans="4:20" x14ac:dyDescent="0.45">
      <c r="D10" t="s">
        <v>276</v>
      </c>
      <c r="G10">
        <f t="shared" ref="G10:G17" si="6">G9+1</f>
        <v>22</v>
      </c>
      <c r="H10" t="str">
        <f t="shared" si="0"/>
        <v>AngleFreezeY, false) \</v>
      </c>
      <c r="I10" t="str">
        <f t="shared" si="1"/>
        <v>AngleFreezeY</v>
      </c>
      <c r="J10" t="str">
        <f t="shared" si="2"/>
        <v>cAngleFreezeY</v>
      </c>
      <c r="L10" t="str">
        <f t="shared" si="3"/>
        <v>if (receivedID == "cx22</v>
      </c>
      <c r="M10" t="str">
        <f t="shared" si="4"/>
        <v>if (receivedID == "cx22") {cAngleFreezeY</v>
      </c>
      <c r="N10" t="str">
        <f t="shared" si="5"/>
        <v>if (receivedID == "cx22") {cAngleFreezeY = receivedValue;};</v>
      </c>
      <c r="T10" t="s">
        <v>290</v>
      </c>
    </row>
    <row r="11" spans="4:20" x14ac:dyDescent="0.45">
      <c r="D11" t="s">
        <v>277</v>
      </c>
      <c r="G11">
        <f t="shared" si="6"/>
        <v>23</v>
      </c>
      <c r="H11" t="str">
        <f t="shared" si="0"/>
        <v>AngleFreezeZ, false) \</v>
      </c>
      <c r="I11" t="str">
        <f t="shared" si="1"/>
        <v>AngleFreezeZ</v>
      </c>
      <c r="J11" t="str">
        <f t="shared" si="2"/>
        <v>cAngleFreezeZ</v>
      </c>
      <c r="L11" t="str">
        <f t="shared" si="3"/>
        <v>if (receivedID == "cx23</v>
      </c>
      <c r="M11" t="str">
        <f t="shared" si="4"/>
        <v>if (receivedID == "cx23") {cAngleFreezeZ</v>
      </c>
      <c r="N11" t="str">
        <f t="shared" si="5"/>
        <v>if (receivedID == "cx23") {cAngleFreezeZ = receivedValue;};</v>
      </c>
      <c r="T11" t="s">
        <v>291</v>
      </c>
    </row>
    <row r="12" spans="4:20" x14ac:dyDescent="0.45">
      <c r="D12" t="s">
        <v>278</v>
      </c>
      <c r="G12">
        <f t="shared" si="6"/>
        <v>24</v>
      </c>
      <c r="H12" t="str">
        <f t="shared" si="0"/>
        <v>RotateLinearX, false) \</v>
      </c>
      <c r="I12" t="str">
        <f t="shared" si="1"/>
        <v>RotateLinearX</v>
      </c>
      <c r="J12" t="str">
        <f t="shared" si="2"/>
        <v>cRotateLinearX</v>
      </c>
      <c r="L12" t="str">
        <f t="shared" si="3"/>
        <v>if (receivedID == "cx24</v>
      </c>
      <c r="M12" t="str">
        <f t="shared" si="4"/>
        <v>if (receivedID == "cx24") {cRotateLinearX</v>
      </c>
      <c r="N12" t="str">
        <f t="shared" si="5"/>
        <v>if (receivedID == "cx24") {cRotateLinearX = receivedValue;};</v>
      </c>
      <c r="T12" t="s">
        <v>292</v>
      </c>
    </row>
    <row r="13" spans="4:20" x14ac:dyDescent="0.45">
      <c r="D13" t="s">
        <v>279</v>
      </c>
      <c r="G13">
        <f t="shared" si="6"/>
        <v>25</v>
      </c>
      <c r="H13" t="str">
        <f t="shared" si="0"/>
        <v>RotateLinearY, false) \</v>
      </c>
      <c r="I13" t="str">
        <f t="shared" si="1"/>
        <v>RotateLinearY</v>
      </c>
      <c r="J13" t="str">
        <f t="shared" si="2"/>
        <v>cRotateLinearY</v>
      </c>
      <c r="L13" t="str">
        <f t="shared" si="3"/>
        <v>if (receivedID == "cx25</v>
      </c>
      <c r="M13" t="str">
        <f t="shared" si="4"/>
        <v>if (receivedID == "cx25") {cRotateLinearY</v>
      </c>
      <c r="N13" t="str">
        <f t="shared" si="5"/>
        <v>if (receivedID == "cx25") {cRotateLinearY = receivedValue;};</v>
      </c>
    </row>
    <row r="14" spans="4:20" x14ac:dyDescent="0.45">
      <c r="D14" t="s">
        <v>280</v>
      </c>
      <c r="G14">
        <f t="shared" si="6"/>
        <v>26</v>
      </c>
      <c r="H14" t="str">
        <f t="shared" si="0"/>
        <v>RotateLinearZ, false) \</v>
      </c>
      <c r="I14" t="str">
        <f t="shared" si="1"/>
        <v>RotateLinearZ</v>
      </c>
      <c r="J14" t="str">
        <f t="shared" si="2"/>
        <v>cRotateLinearZ</v>
      </c>
      <c r="L14" t="str">
        <f t="shared" si="3"/>
        <v>if (receivedID == "cx26</v>
      </c>
      <c r="M14" t="str">
        <f t="shared" si="4"/>
        <v>if (receivedID == "cx26") {cRotateLinearZ</v>
      </c>
      <c r="N14" t="str">
        <f t="shared" si="5"/>
        <v>if (receivedID == "cx26") {cRotateLinearZ = receivedValue;};</v>
      </c>
    </row>
    <row r="15" spans="4:20" x14ac:dyDescent="0.45">
      <c r="D15" t="s">
        <v>281</v>
      </c>
      <c r="G15">
        <f t="shared" si="6"/>
        <v>27</v>
      </c>
      <c r="H15" t="str">
        <f t="shared" si="0"/>
        <v>RotateRadialX, false) \</v>
      </c>
      <c r="I15" t="str">
        <f t="shared" si="1"/>
        <v>RotateRadialX</v>
      </c>
      <c r="J15" t="str">
        <f t="shared" si="2"/>
        <v>cRotateRadialX</v>
      </c>
      <c r="L15" t="str">
        <f t="shared" si="3"/>
        <v>if (receivedID == "cx27</v>
      </c>
      <c r="M15" t="str">
        <f t="shared" si="4"/>
        <v>if (receivedID == "cx27") {cRotateRadialX</v>
      </c>
      <c r="N15" t="str">
        <f t="shared" si="5"/>
        <v>if (receivedID == "cx27") {cRotateRadialX = receivedValue;};</v>
      </c>
    </row>
    <row r="16" spans="4:20" x14ac:dyDescent="0.45">
      <c r="D16" t="s">
        <v>282</v>
      </c>
      <c r="G16">
        <f t="shared" si="6"/>
        <v>28</v>
      </c>
      <c r="H16" t="str">
        <f t="shared" si="0"/>
        <v>RotateRadialY, false) \</v>
      </c>
      <c r="I16" t="str">
        <f t="shared" si="1"/>
        <v>RotateRadialY</v>
      </c>
      <c r="J16" t="str">
        <f t="shared" si="2"/>
        <v>cRotateRadialY</v>
      </c>
      <c r="L16" t="str">
        <f t="shared" si="3"/>
        <v>if (receivedID == "cx28</v>
      </c>
      <c r="M16" t="str">
        <f t="shared" si="4"/>
        <v>if (receivedID == "cx28") {cRotateRadialY</v>
      </c>
      <c r="N16" t="str">
        <f t="shared" si="5"/>
        <v>if (receivedID == "cx28") {cRotateRadialY = receivedValue;};</v>
      </c>
    </row>
    <row r="17" spans="4:14" x14ac:dyDescent="0.45">
      <c r="D17" t="s">
        <v>283</v>
      </c>
      <c r="G17">
        <f t="shared" si="6"/>
        <v>29</v>
      </c>
      <c r="H17" t="str">
        <f t="shared" si="0"/>
        <v>RotateRadialZ, false)</v>
      </c>
      <c r="I17" t="str">
        <f t="shared" si="1"/>
        <v>RotateRadialZ</v>
      </c>
      <c r="J17" t="str">
        <f t="shared" si="2"/>
        <v>cRotateRadialZ</v>
      </c>
      <c r="L17" t="str">
        <f t="shared" si="3"/>
        <v>if (receivedID == "cx29</v>
      </c>
      <c r="M17" t="str">
        <f t="shared" si="4"/>
        <v>if (receivedID == "cx29") {cRotateRadialZ</v>
      </c>
      <c r="N17" t="str">
        <f t="shared" si="5"/>
        <v>if (receivedID == "cx29") {cRotateRadialZ = receivedValue;};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2983-703A-4DF7-B696-49FBBE823C13}">
  <dimension ref="B6:I132"/>
  <sheetViews>
    <sheetView workbookViewId="0">
      <pane ySplit="6" topLeftCell="A58" activePane="bottomLeft" state="frozen"/>
      <selection pane="bottomLeft" activeCell="B25" sqref="B25"/>
    </sheetView>
  </sheetViews>
  <sheetFormatPr defaultRowHeight="14.25" x14ac:dyDescent="0.45"/>
  <cols>
    <col min="2" max="2" width="85" bestFit="1" customWidth="1"/>
    <col min="4" max="4" width="12.9296875" bestFit="1" customWidth="1"/>
    <col min="6" max="9" width="9.06640625" style="11"/>
  </cols>
  <sheetData>
    <row r="6" spans="2:9" x14ac:dyDescent="0.45">
      <c r="B6" t="s">
        <v>151</v>
      </c>
      <c r="E6" s="12" t="s">
        <v>242</v>
      </c>
      <c r="F6" s="13" t="s">
        <v>239</v>
      </c>
      <c r="G6" s="13" t="s">
        <v>240</v>
      </c>
      <c r="H6" s="13" t="s">
        <v>238</v>
      </c>
      <c r="I6" s="13" t="s">
        <v>241</v>
      </c>
    </row>
    <row r="8" spans="2:9" x14ac:dyDescent="0.45">
      <c r="B8" s="1" t="s">
        <v>152</v>
      </c>
    </row>
    <row r="10" spans="2:9" x14ac:dyDescent="0.45">
      <c r="B10" t="s">
        <v>153</v>
      </c>
    </row>
    <row r="12" spans="2:9" x14ac:dyDescent="0.45">
      <c r="B12" t="s">
        <v>154</v>
      </c>
    </row>
    <row r="13" spans="2:9" x14ac:dyDescent="0.45">
      <c r="B13" t="s">
        <v>155</v>
      </c>
    </row>
    <row r="14" spans="2:9" x14ac:dyDescent="0.45">
      <c r="B14" t="s">
        <v>156</v>
      </c>
    </row>
    <row r="15" spans="2:9" x14ac:dyDescent="0.45">
      <c r="B15" t="s">
        <v>157</v>
      </c>
    </row>
    <row r="16" spans="2:9" x14ac:dyDescent="0.45">
      <c r="B16" t="s">
        <v>158</v>
      </c>
    </row>
    <row r="17" spans="2:9" x14ac:dyDescent="0.45">
      <c r="B17" t="s">
        <v>159</v>
      </c>
    </row>
    <row r="18" spans="2:9" x14ac:dyDescent="0.45">
      <c r="B18" t="s">
        <v>160</v>
      </c>
    </row>
    <row r="19" spans="2:9" x14ac:dyDescent="0.45">
      <c r="B19" t="s">
        <v>161</v>
      </c>
    </row>
    <row r="20" spans="2:9" x14ac:dyDescent="0.45">
      <c r="B20" t="s">
        <v>162</v>
      </c>
    </row>
    <row r="22" spans="2:9" x14ac:dyDescent="0.45">
      <c r="B22" t="s">
        <v>163</v>
      </c>
    </row>
    <row r="23" spans="2:9" x14ac:dyDescent="0.45">
      <c r="B23" t="s">
        <v>235</v>
      </c>
    </row>
    <row r="24" spans="2:9" x14ac:dyDescent="0.45">
      <c r="B24" t="s">
        <v>164</v>
      </c>
      <c r="D24" t="s">
        <v>236</v>
      </c>
      <c r="E24" t="s">
        <v>112</v>
      </c>
      <c r="F24" s="11">
        <v>1E-3</v>
      </c>
      <c r="G24" s="11">
        <v>5.0000000000000001E-3</v>
      </c>
      <c r="H24" s="11">
        <v>2E-3</v>
      </c>
      <c r="I24" s="11">
        <v>1E-3</v>
      </c>
    </row>
    <row r="25" spans="2:9" x14ac:dyDescent="0.45">
      <c r="B25" t="s">
        <v>165</v>
      </c>
      <c r="D25" t="s">
        <v>237</v>
      </c>
      <c r="E25" t="s">
        <v>112</v>
      </c>
      <c r="F25" s="11">
        <v>0.1</v>
      </c>
      <c r="G25" s="11">
        <v>2</v>
      </c>
      <c r="H25" s="11">
        <v>1</v>
      </c>
      <c r="I25" s="11">
        <v>0.1</v>
      </c>
    </row>
    <row r="26" spans="2:9" x14ac:dyDescent="0.45">
      <c r="B26" t="s">
        <v>166</v>
      </c>
      <c r="D26" t="s">
        <v>234</v>
      </c>
      <c r="E26" t="s">
        <v>112</v>
      </c>
      <c r="F26" s="11">
        <v>0.1</v>
      </c>
      <c r="G26" s="11">
        <v>2</v>
      </c>
      <c r="H26" s="11">
        <v>1</v>
      </c>
      <c r="I26" s="11">
        <v>0.1</v>
      </c>
    </row>
    <row r="28" spans="2:9" x14ac:dyDescent="0.45">
      <c r="B28" s="1" t="s">
        <v>167</v>
      </c>
    </row>
    <row r="30" spans="2:9" x14ac:dyDescent="0.45">
      <c r="B30" t="s">
        <v>168</v>
      </c>
    </row>
    <row r="32" spans="2:9" x14ac:dyDescent="0.45">
      <c r="B32" t="s">
        <v>154</v>
      </c>
    </row>
    <row r="33" spans="2:9" x14ac:dyDescent="0.45">
      <c r="B33" t="s">
        <v>169</v>
      </c>
    </row>
    <row r="34" spans="2:9" x14ac:dyDescent="0.45">
      <c r="B34" t="s">
        <v>170</v>
      </c>
    </row>
    <row r="35" spans="2:9" x14ac:dyDescent="0.45">
      <c r="B35" t="s">
        <v>171</v>
      </c>
    </row>
    <row r="36" spans="2:9" x14ac:dyDescent="0.45">
      <c r="B36" t="s">
        <v>172</v>
      </c>
      <c r="D36" t="s">
        <v>243</v>
      </c>
    </row>
    <row r="37" spans="2:9" x14ac:dyDescent="0.45">
      <c r="B37" t="s">
        <v>173</v>
      </c>
    </row>
    <row r="38" spans="2:9" x14ac:dyDescent="0.45">
      <c r="B38" t="s">
        <v>174</v>
      </c>
    </row>
    <row r="39" spans="2:9" x14ac:dyDescent="0.45">
      <c r="B39" t="s">
        <v>175</v>
      </c>
      <c r="D39" t="s">
        <v>244</v>
      </c>
    </row>
    <row r="41" spans="2:9" x14ac:dyDescent="0.45">
      <c r="B41" t="s">
        <v>176</v>
      </c>
    </row>
    <row r="42" spans="2:9" x14ac:dyDescent="0.45">
      <c r="B42" t="s">
        <v>177</v>
      </c>
    </row>
    <row r="43" spans="2:9" x14ac:dyDescent="0.45">
      <c r="B43" t="s">
        <v>178</v>
      </c>
    </row>
    <row r="44" spans="2:9" x14ac:dyDescent="0.45">
      <c r="B44" t="s">
        <v>179</v>
      </c>
    </row>
    <row r="45" spans="2:9" x14ac:dyDescent="0.45">
      <c r="B45" t="s">
        <v>180</v>
      </c>
    </row>
    <row r="46" spans="2:9" x14ac:dyDescent="0.45">
      <c r="B46" t="s">
        <v>181</v>
      </c>
      <c r="D46" t="s">
        <v>245</v>
      </c>
      <c r="E46" t="s">
        <v>112</v>
      </c>
      <c r="F46" s="11">
        <v>0.1</v>
      </c>
      <c r="G46" s="11">
        <v>2</v>
      </c>
      <c r="H46" s="11">
        <v>1</v>
      </c>
      <c r="I46" s="11">
        <v>0.1</v>
      </c>
    </row>
    <row r="48" spans="2:9" x14ac:dyDescent="0.45">
      <c r="B48" s="1" t="s">
        <v>182</v>
      </c>
    </row>
    <row r="50" spans="2:9" x14ac:dyDescent="0.45">
      <c r="B50" t="s">
        <v>183</v>
      </c>
    </row>
    <row r="52" spans="2:9" x14ac:dyDescent="0.45">
      <c r="B52" t="s">
        <v>154</v>
      </c>
    </row>
    <row r="53" spans="2:9" x14ac:dyDescent="0.45">
      <c r="B53" t="s">
        <v>184</v>
      </c>
    </row>
    <row r="54" spans="2:9" x14ac:dyDescent="0.45">
      <c r="B54" t="s">
        <v>185</v>
      </c>
    </row>
    <row r="55" spans="2:9" x14ac:dyDescent="0.45">
      <c r="B55" t="s">
        <v>186</v>
      </c>
    </row>
    <row r="56" spans="2:9" x14ac:dyDescent="0.45">
      <c r="B56" t="s">
        <v>187</v>
      </c>
      <c r="D56" t="s">
        <v>246</v>
      </c>
    </row>
    <row r="57" spans="2:9" x14ac:dyDescent="0.45">
      <c r="B57" t="s">
        <v>188</v>
      </c>
    </row>
    <row r="58" spans="2:9" x14ac:dyDescent="0.45">
      <c r="B58" t="s">
        <v>189</v>
      </c>
    </row>
    <row r="59" spans="2:9" x14ac:dyDescent="0.45">
      <c r="B59" t="s">
        <v>190</v>
      </c>
    </row>
    <row r="60" spans="2:9" x14ac:dyDescent="0.45">
      <c r="D60" t="s">
        <v>247</v>
      </c>
    </row>
    <row r="61" spans="2:9" x14ac:dyDescent="0.45">
      <c r="B61" t="s">
        <v>191</v>
      </c>
    </row>
    <row r="62" spans="2:9" x14ac:dyDescent="0.45">
      <c r="B62" t="s">
        <v>192</v>
      </c>
    </row>
    <row r="63" spans="2:9" x14ac:dyDescent="0.45">
      <c r="B63" t="s">
        <v>193</v>
      </c>
      <c r="D63" t="s">
        <v>248</v>
      </c>
      <c r="E63" t="s">
        <v>254</v>
      </c>
      <c r="F63" s="11">
        <v>0.3</v>
      </c>
      <c r="G63" s="11">
        <v>1</v>
      </c>
      <c r="H63" s="11">
        <v>0.7</v>
      </c>
      <c r="I63" s="11">
        <v>0.01</v>
      </c>
    </row>
    <row r="64" spans="2:9" x14ac:dyDescent="0.45">
      <c r="B64" t="s">
        <v>194</v>
      </c>
      <c r="D64" t="s">
        <v>249</v>
      </c>
      <c r="E64" t="s">
        <v>254</v>
      </c>
      <c r="F64" s="11">
        <v>0.1</v>
      </c>
      <c r="G64" s="11">
        <v>0.8</v>
      </c>
      <c r="H64" s="11">
        <v>0.35</v>
      </c>
      <c r="I64" s="11">
        <v>0.01</v>
      </c>
    </row>
    <row r="66" spans="2:9" x14ac:dyDescent="0.45">
      <c r="B66" s="1" t="s">
        <v>195</v>
      </c>
    </row>
    <row r="68" spans="2:9" x14ac:dyDescent="0.45">
      <c r="B68" t="s">
        <v>196</v>
      </c>
    </row>
    <row r="70" spans="2:9" x14ac:dyDescent="0.45">
      <c r="B70" t="s">
        <v>197</v>
      </c>
    </row>
    <row r="71" spans="2:9" x14ac:dyDescent="0.45">
      <c r="B71" t="s">
        <v>198</v>
      </c>
      <c r="D71" t="s">
        <v>250</v>
      </c>
      <c r="E71" t="s">
        <v>115</v>
      </c>
      <c r="F71" s="11">
        <v>60</v>
      </c>
      <c r="G71" s="11">
        <v>300</v>
      </c>
      <c r="H71" s="11">
        <v>100</v>
      </c>
      <c r="I71" s="11">
        <v>10</v>
      </c>
    </row>
    <row r="72" spans="2:9" x14ac:dyDescent="0.45">
      <c r="B72" t="s">
        <v>199</v>
      </c>
    </row>
    <row r="73" spans="2:9" x14ac:dyDescent="0.45">
      <c r="B73" t="s">
        <v>200</v>
      </c>
    </row>
    <row r="74" spans="2:9" x14ac:dyDescent="0.45">
      <c r="B74" t="s">
        <v>201</v>
      </c>
    </row>
    <row r="75" spans="2:9" x14ac:dyDescent="0.45">
      <c r="B75" t="s">
        <v>202</v>
      </c>
      <c r="D75" t="s">
        <v>251</v>
      </c>
      <c r="E75" s="14" t="s">
        <v>112</v>
      </c>
      <c r="F75" s="11">
        <v>0.01</v>
      </c>
      <c r="G75" s="11">
        <v>0.1</v>
      </c>
      <c r="H75" s="11">
        <v>0.05</v>
      </c>
      <c r="I75" s="11">
        <v>0.01</v>
      </c>
    </row>
    <row r="76" spans="2:9" x14ac:dyDescent="0.45">
      <c r="B76" t="s">
        <v>203</v>
      </c>
      <c r="D76" t="s">
        <v>252</v>
      </c>
      <c r="E76" s="14" t="s">
        <v>112</v>
      </c>
      <c r="F76" s="11">
        <v>0.05</v>
      </c>
      <c r="G76" s="11">
        <v>0.25</v>
      </c>
      <c r="H76" s="11">
        <v>0.15</v>
      </c>
      <c r="I76" s="11">
        <v>0.01</v>
      </c>
    </row>
    <row r="78" spans="2:9" x14ac:dyDescent="0.45">
      <c r="B78" s="1" t="s">
        <v>204</v>
      </c>
    </row>
    <row r="80" spans="2:9" x14ac:dyDescent="0.45">
      <c r="B80" t="s">
        <v>205</v>
      </c>
    </row>
    <row r="81" spans="2:9" x14ac:dyDescent="0.45">
      <c r="B81" t="s">
        <v>206</v>
      </c>
    </row>
    <row r="82" spans="2:9" x14ac:dyDescent="0.45">
      <c r="B82" t="s">
        <v>207</v>
      </c>
    </row>
    <row r="84" spans="2:9" x14ac:dyDescent="0.45">
      <c r="B84" t="s">
        <v>208</v>
      </c>
    </row>
    <row r="85" spans="2:9" x14ac:dyDescent="0.45">
      <c r="B85" t="s">
        <v>209</v>
      </c>
      <c r="D85" t="s">
        <v>253</v>
      </c>
      <c r="E85" t="s">
        <v>112</v>
      </c>
      <c r="F85" s="11">
        <v>0.1</v>
      </c>
      <c r="G85" s="11">
        <v>2</v>
      </c>
      <c r="H85" s="11">
        <v>1</v>
      </c>
      <c r="I85" s="11">
        <v>0.1</v>
      </c>
    </row>
    <row r="86" spans="2:9" x14ac:dyDescent="0.45">
      <c r="B86" t="s">
        <v>210</v>
      </c>
    </row>
    <row r="88" spans="2:9" x14ac:dyDescent="0.45">
      <c r="B88" t="s">
        <v>211</v>
      </c>
    </row>
    <row r="90" spans="2:9" x14ac:dyDescent="0.45">
      <c r="B90" t="s">
        <v>212</v>
      </c>
    </row>
    <row r="91" spans="2:9" x14ac:dyDescent="0.45">
      <c r="B91" t="s">
        <v>213</v>
      </c>
    </row>
    <row r="92" spans="2:9" x14ac:dyDescent="0.45">
      <c r="B92" t="s">
        <v>214</v>
      </c>
    </row>
    <row r="93" spans="2:9" x14ac:dyDescent="0.45">
      <c r="B93" t="s">
        <v>215</v>
      </c>
    </row>
    <row r="95" spans="2:9" x14ac:dyDescent="0.45">
      <c r="B95" t="s">
        <v>216</v>
      </c>
    </row>
    <row r="96" spans="2:9" x14ac:dyDescent="0.45">
      <c r="B96" t="s">
        <v>217</v>
      </c>
    </row>
    <row r="97" spans="2:2" x14ac:dyDescent="0.45">
      <c r="B97" t="s">
        <v>218</v>
      </c>
    </row>
    <row r="98" spans="2:2" x14ac:dyDescent="0.45">
      <c r="B98" t="s">
        <v>219</v>
      </c>
    </row>
    <row r="100" spans="2:2" x14ac:dyDescent="0.45">
      <c r="B100" t="s">
        <v>220</v>
      </c>
    </row>
    <row r="101" spans="2:2" x14ac:dyDescent="0.45">
      <c r="B101" t="s">
        <v>221</v>
      </c>
    </row>
    <row r="102" spans="2:2" x14ac:dyDescent="0.45">
      <c r="B102" t="s">
        <v>222</v>
      </c>
    </row>
    <row r="103" spans="2:2" x14ac:dyDescent="0.45">
      <c r="B103" t="s">
        <v>223</v>
      </c>
    </row>
    <row r="105" spans="2:2" x14ac:dyDescent="0.45">
      <c r="B105" t="s">
        <v>224</v>
      </c>
    </row>
    <row r="106" spans="2:2" x14ac:dyDescent="0.45">
      <c r="B106" t="s">
        <v>225</v>
      </c>
    </row>
    <row r="107" spans="2:2" x14ac:dyDescent="0.45">
      <c r="B107" t="s">
        <v>226</v>
      </c>
    </row>
    <row r="108" spans="2:2" x14ac:dyDescent="0.45">
      <c r="B108" t="s">
        <v>227</v>
      </c>
    </row>
    <row r="110" spans="2:2" x14ac:dyDescent="0.45">
      <c r="B110" t="s">
        <v>228</v>
      </c>
    </row>
    <row r="112" spans="2:2" x14ac:dyDescent="0.45">
      <c r="B112" t="s">
        <v>229</v>
      </c>
    </row>
    <row r="113" spans="2:9" x14ac:dyDescent="0.45">
      <c r="B113" t="s">
        <v>230</v>
      </c>
    </row>
    <row r="114" spans="2:9" x14ac:dyDescent="0.45">
      <c r="B114" t="s">
        <v>231</v>
      </c>
    </row>
    <row r="116" spans="2:9" x14ac:dyDescent="0.45">
      <c r="B116" t="s">
        <v>232</v>
      </c>
    </row>
    <row r="117" spans="2:9" x14ac:dyDescent="0.45">
      <c r="B117" t="s">
        <v>233</v>
      </c>
    </row>
    <row r="124" spans="2:9" x14ac:dyDescent="0.45">
      <c r="D124" s="12" t="s">
        <v>255</v>
      </c>
      <c r="E124" s="12" t="s">
        <v>242</v>
      </c>
      <c r="F124" s="13" t="s">
        <v>239</v>
      </c>
      <c r="G124" s="13" t="s">
        <v>240</v>
      </c>
      <c r="H124" s="13" t="s">
        <v>238</v>
      </c>
      <c r="I124" s="13" t="s">
        <v>241</v>
      </c>
    </row>
    <row r="125" spans="2:9" x14ac:dyDescent="0.45">
      <c r="D125" t="s">
        <v>236</v>
      </c>
      <c r="E125" t="s">
        <v>112</v>
      </c>
      <c r="F125" s="11">
        <v>1E-3</v>
      </c>
      <c r="G125" s="11">
        <v>5.0000000000000001E-3</v>
      </c>
      <c r="H125" s="11">
        <v>2E-3</v>
      </c>
      <c r="I125" s="11">
        <v>1E-3</v>
      </c>
    </row>
    <row r="126" spans="2:9" x14ac:dyDescent="0.45">
      <c r="D126" t="s">
        <v>237</v>
      </c>
      <c r="E126" t="s">
        <v>112</v>
      </c>
      <c r="F126" s="11">
        <v>0.1</v>
      </c>
      <c r="G126" s="11">
        <v>2</v>
      </c>
      <c r="H126" s="11">
        <v>1</v>
      </c>
      <c r="I126" s="11">
        <v>0.1</v>
      </c>
    </row>
    <row r="127" spans="2:9" x14ac:dyDescent="0.45">
      <c r="D127" t="s">
        <v>234</v>
      </c>
      <c r="E127" t="s">
        <v>112</v>
      </c>
      <c r="F127" s="11">
        <v>0.1</v>
      </c>
      <c r="G127" s="11">
        <v>2</v>
      </c>
      <c r="H127" s="11">
        <v>1</v>
      </c>
      <c r="I127" s="11">
        <v>0.1</v>
      </c>
    </row>
    <row r="128" spans="2:9" x14ac:dyDescent="0.45">
      <c r="D128" t="s">
        <v>245</v>
      </c>
      <c r="E128" t="s">
        <v>112</v>
      </c>
      <c r="F128" s="11">
        <v>0.1</v>
      </c>
      <c r="G128" s="11">
        <v>2</v>
      </c>
      <c r="H128" s="11">
        <v>1</v>
      </c>
      <c r="I128" s="11">
        <v>0.1</v>
      </c>
    </row>
    <row r="129" spans="4:9" x14ac:dyDescent="0.45">
      <c r="D129" t="s">
        <v>248</v>
      </c>
      <c r="E129" t="s">
        <v>254</v>
      </c>
      <c r="F129" s="11">
        <v>0.3</v>
      </c>
      <c r="G129" s="11">
        <v>1</v>
      </c>
      <c r="H129" s="11">
        <v>0.7</v>
      </c>
      <c r="I129" s="11">
        <v>0.01</v>
      </c>
    </row>
    <row r="130" spans="4:9" x14ac:dyDescent="0.45">
      <c r="D130" t="s">
        <v>249</v>
      </c>
      <c r="E130" t="s">
        <v>254</v>
      </c>
      <c r="F130" s="11">
        <v>0.1</v>
      </c>
      <c r="G130" s="11">
        <v>0.8</v>
      </c>
      <c r="H130" s="11">
        <v>0.35</v>
      </c>
      <c r="I130" s="11">
        <v>0.01</v>
      </c>
    </row>
    <row r="131" spans="4:9" x14ac:dyDescent="0.45">
      <c r="D131" t="s">
        <v>250</v>
      </c>
      <c r="E131" t="s">
        <v>115</v>
      </c>
      <c r="F131" s="11">
        <v>60</v>
      </c>
      <c r="G131" s="11">
        <v>300</v>
      </c>
      <c r="H131" s="11">
        <v>100</v>
      </c>
      <c r="I131" s="11">
        <v>10</v>
      </c>
    </row>
    <row r="132" spans="4:9" x14ac:dyDescent="0.45">
      <c r="D132" t="s">
        <v>251</v>
      </c>
      <c r="E132" t="s">
        <v>112</v>
      </c>
      <c r="F132" s="11">
        <v>0.01</v>
      </c>
      <c r="G132" s="11">
        <v>0.1</v>
      </c>
      <c r="H132" s="11">
        <v>0.05</v>
      </c>
      <c r="I132" s="11">
        <v>0.01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4800-90A5-4DC8-96F5-561FF07F53A9}">
  <dimension ref="C5:L21"/>
  <sheetViews>
    <sheetView workbookViewId="0">
      <selection activeCell="G5" sqref="G5:G21"/>
    </sheetView>
  </sheetViews>
  <sheetFormatPr defaultRowHeight="14.25" x14ac:dyDescent="0.45"/>
  <cols>
    <col min="3" max="3" width="105.06640625" bestFit="1" customWidth="1"/>
    <col min="4" max="4" width="9.3984375" customWidth="1"/>
    <col min="5" max="5" width="22.06640625" customWidth="1"/>
    <col min="6" max="6" width="6.06640625" style="4" customWidth="1"/>
    <col min="7" max="11" width="15.59765625" customWidth="1"/>
  </cols>
  <sheetData>
    <row r="5" spans="3:12" x14ac:dyDescent="0.45">
      <c r="C5" t="s">
        <v>95</v>
      </c>
      <c r="D5" t="s">
        <v>112</v>
      </c>
      <c r="E5" t="str">
        <f>_xlfn.TEXTBEFORE(L5,"(")</f>
        <v>triggerSpeed</v>
      </c>
      <c r="F5" s="4" t="s">
        <v>116</v>
      </c>
      <c r="G5" t="str">
        <f>D5&amp;" "&amp;E5&amp;" = "&amp;F5&amp;";"</f>
        <v>float triggerSpeed = .4f;</v>
      </c>
      <c r="L5" t="str">
        <f t="shared" ref="L5:L21" si="0">_xlfn.TEXTAFTER(C5," ")</f>
        <v>triggerSpeed("Trigger Speed", .4f, 0.0f, 1.0f, 0.01f); // Controls how frequently auto-triggers happen (lower = faster)</v>
      </c>
    </row>
    <row r="6" spans="3:12" x14ac:dyDescent="0.45">
      <c r="C6" t="s">
        <v>96</v>
      </c>
      <c r="D6" t="s">
        <v>114</v>
      </c>
      <c r="E6" t="str">
        <f t="shared" ref="E6:E21" si="1">_xlfn.TEXTBEFORE(L6,"(")</f>
        <v>blurAmount</v>
      </c>
      <c r="F6" s="4">
        <v>0</v>
      </c>
      <c r="G6" t="str">
        <f t="shared" ref="G6:G21" si="2">D6&amp;" "&amp;E6&amp;" = "&amp;F6&amp;";"</f>
        <v>uint8_t blurAmount = 0;</v>
      </c>
      <c r="L6" t="str">
        <f t="shared" si="0"/>
        <v>blurAmount("Global Blur Amount", 0, 0, 172, 1);     // Controls overall blur amount for all layers</v>
      </c>
    </row>
    <row r="7" spans="3:12" x14ac:dyDescent="0.45">
      <c r="C7" t="s">
        <v>97</v>
      </c>
      <c r="D7" t="s">
        <v>114</v>
      </c>
      <c r="E7" t="str">
        <f t="shared" si="1"/>
        <v>blurPasses</v>
      </c>
      <c r="F7" s="4">
        <v>1</v>
      </c>
      <c r="G7" t="str">
        <f t="shared" si="2"/>
        <v>uint8_t blurPasses = 1;</v>
      </c>
      <c r="L7" t="str">
        <f t="shared" si="0"/>
        <v>blurPasses("Global Blur Passes", 1, 1, 10, 1);      // Controls how many times blur is applied (more = smoother but slower)</v>
      </c>
    </row>
    <row r="8" spans="3:12" x14ac:dyDescent="0.45">
      <c r="C8" t="s">
        <v>98</v>
      </c>
      <c r="D8" t="s">
        <v>112</v>
      </c>
      <c r="E8" t="str">
        <f t="shared" si="1"/>
        <v>superSample</v>
      </c>
      <c r="F8" s="4" t="s">
        <v>120</v>
      </c>
      <c r="G8" t="str">
        <f t="shared" si="2"/>
        <v>float superSample = 1.f;</v>
      </c>
      <c r="L8" t="str">
        <f t="shared" si="0"/>
        <v>superSample("SuperSampleExponent", 1.f, 0.f, 3.f, 1.f); // Controls anti-aliasing quality (higher = better quality but more CPU)</v>
      </c>
    </row>
    <row r="9" spans="3:12" x14ac:dyDescent="0.45">
      <c r="C9" t="s">
        <v>99</v>
      </c>
      <c r="D9" t="s">
        <v>112</v>
      </c>
      <c r="E9" t="str">
        <f t="shared" si="1"/>
        <v>speedLower</v>
      </c>
      <c r="F9" s="4" t="s">
        <v>117</v>
      </c>
      <c r="G9" t="str">
        <f t="shared" si="2"/>
        <v>float speedLower = .16f;</v>
      </c>
      <c r="L9" t="str">
        <f t="shared" si="0"/>
        <v>speedLower("Wave Lower: Speed", 0.16f, 0.0f, 1.0f);           // How fast the lower wave propagates</v>
      </c>
    </row>
    <row r="10" spans="3:12" x14ac:dyDescent="0.45">
      <c r="C10" t="s">
        <v>100</v>
      </c>
      <c r="D10" t="s">
        <v>112</v>
      </c>
      <c r="E10" t="str">
        <f t="shared" si="1"/>
        <v>dampeningLower</v>
      </c>
      <c r="F10" s="4" t="s">
        <v>121</v>
      </c>
      <c r="G10" t="str">
        <f t="shared" si="2"/>
        <v>float dampeningLower = 8.0f;</v>
      </c>
      <c r="L10" t="str">
        <f t="shared" si="0"/>
        <v>dampeningLower("Wave Lower: Dampening", 8.0f, 0.0f, 20.0f, 0.1f); // How quickly the lower wave loses energy</v>
      </c>
    </row>
    <row r="11" spans="3:12" x14ac:dyDescent="0.45">
      <c r="C11" t="s">
        <v>101</v>
      </c>
      <c r="D11" t="s">
        <v>113</v>
      </c>
      <c r="E11" t="str">
        <f t="shared" si="1"/>
        <v>halfDuplexLower</v>
      </c>
      <c r="F11" s="4" t="b">
        <v>1</v>
      </c>
      <c r="G11" t="str">
        <f t="shared" si="2"/>
        <v>bool halfDuplexLower = TRUE;</v>
      </c>
      <c r="L11" t="str">
        <f t="shared" si="0"/>
        <v>halfDuplexLower("Wave Lower: Half Duplex", true);           // If true, waves only go positive (not negative)</v>
      </c>
    </row>
    <row r="12" spans="3:12" x14ac:dyDescent="0.45">
      <c r="C12" t="s">
        <v>102</v>
      </c>
      <c r="D12" t="s">
        <v>114</v>
      </c>
      <c r="E12" t="str">
        <f t="shared" si="1"/>
        <v>blurAmountLower</v>
      </c>
      <c r="F12" s="4">
        <v>0</v>
      </c>
      <c r="G12" t="str">
        <f t="shared" si="2"/>
        <v>uint8_t blurAmountLower = 0;</v>
      </c>
      <c r="L12" t="str">
        <f t="shared" si="0"/>
        <v>blurAmountLower("Wave Lower: Blur Amount", 0, 0, 172, 1);     // Blur amount for lower wave layer</v>
      </c>
    </row>
    <row r="13" spans="3:12" x14ac:dyDescent="0.45">
      <c r="C13" t="s">
        <v>103</v>
      </c>
      <c r="D13" t="s">
        <v>114</v>
      </c>
      <c r="E13" t="str">
        <f t="shared" si="1"/>
        <v>blurPassesLower</v>
      </c>
      <c r="F13" s="4">
        <v>1</v>
      </c>
      <c r="G13" t="str">
        <f t="shared" si="2"/>
        <v>uint8_t blurPassesLower = 1;</v>
      </c>
      <c r="L13" t="str">
        <f t="shared" si="0"/>
        <v>blurPassesLower("Wave Lower: Blur Passes", 1, 1, 10, 1);      // Blur passes for lower wave layer</v>
      </c>
    </row>
    <row r="14" spans="3:12" x14ac:dyDescent="0.45">
      <c r="C14" t="s">
        <v>104</v>
      </c>
      <c r="D14" t="s">
        <v>112</v>
      </c>
      <c r="E14" t="str">
        <f t="shared" si="1"/>
        <v>speedUpper</v>
      </c>
      <c r="F14" s="4" t="s">
        <v>118</v>
      </c>
      <c r="G14" t="str">
        <f t="shared" si="2"/>
        <v>float speedUpper = .24f;</v>
      </c>
      <c r="L14" t="str">
        <f t="shared" si="0"/>
        <v>speedUpper("Wave Upper: Speed", 0.24f, 0.0f, 1.0f);           // How fast the upper wave propagates</v>
      </c>
    </row>
    <row r="15" spans="3:12" x14ac:dyDescent="0.45">
      <c r="C15" t="s">
        <v>105</v>
      </c>
      <c r="D15" t="s">
        <v>112</v>
      </c>
      <c r="E15" t="str">
        <f t="shared" si="1"/>
        <v>dampeningUpper</v>
      </c>
      <c r="F15" s="4" t="s">
        <v>122</v>
      </c>
      <c r="G15" t="str">
        <f t="shared" si="2"/>
        <v>float dampeningUpper = 6.0f;</v>
      </c>
      <c r="L15" t="str">
        <f t="shared" si="0"/>
        <v>dampeningUpper("Wave Upper: Dampening", 6.0f, 0.0f, 20.0f, 0.1f); // How quickly the upper wave loses energy</v>
      </c>
    </row>
    <row r="16" spans="3:12" x14ac:dyDescent="0.45">
      <c r="C16" t="s">
        <v>106</v>
      </c>
      <c r="D16" t="s">
        <v>113</v>
      </c>
      <c r="E16" t="str">
        <f t="shared" si="1"/>
        <v>halfDuplexUpper</v>
      </c>
      <c r="F16" s="4" t="b">
        <v>1</v>
      </c>
      <c r="G16" t="str">
        <f t="shared" si="2"/>
        <v>bool halfDuplexUpper = TRUE;</v>
      </c>
      <c r="L16" t="str">
        <f t="shared" si="0"/>
        <v>halfDuplexUpper("Wave Upper: Half Duplex", true);           // If true, waves only go positive (not negative)</v>
      </c>
    </row>
    <row r="17" spans="3:12" x14ac:dyDescent="0.45">
      <c r="C17" t="s">
        <v>107</v>
      </c>
      <c r="D17" t="s">
        <v>114</v>
      </c>
      <c r="E17" t="str">
        <f t="shared" si="1"/>
        <v>blurAmountUpper</v>
      </c>
      <c r="F17" s="4">
        <v>12</v>
      </c>
      <c r="G17" t="str">
        <f t="shared" si="2"/>
        <v>uint8_t blurAmountUpper = 12;</v>
      </c>
      <c r="L17" t="str">
        <f t="shared" si="0"/>
        <v>blurAmountUpper("Wave Upper: Blur Amount", 12, 0, 172, 1);    // Blur amount for upper wave layer</v>
      </c>
    </row>
    <row r="18" spans="3:12" x14ac:dyDescent="0.45">
      <c r="C18" t="s">
        <v>108</v>
      </c>
      <c r="D18" t="s">
        <v>114</v>
      </c>
      <c r="E18" t="str">
        <f t="shared" si="1"/>
        <v>blurPassesUpper</v>
      </c>
      <c r="F18" s="4">
        <v>1</v>
      </c>
      <c r="G18" t="str">
        <f t="shared" si="2"/>
        <v>uint8_t blurPassesUpper = 1;</v>
      </c>
      <c r="L18" t="str">
        <f t="shared" si="0"/>
        <v>blurPassesUpper("Wave Upper: Blur Passes", 1, 1, 10, 1);      // Blur passes for upper wave layer</v>
      </c>
    </row>
    <row r="19" spans="3:12" x14ac:dyDescent="0.45">
      <c r="C19" t="s">
        <v>109</v>
      </c>
      <c r="D19" t="s">
        <v>115</v>
      </c>
      <c r="E19" t="str">
        <f t="shared" si="1"/>
        <v>fancySpeed</v>
      </c>
      <c r="F19" s="4">
        <v>500</v>
      </c>
      <c r="G19" t="str">
        <f t="shared" si="2"/>
        <v>uint16_t fancySpeed = 500;</v>
      </c>
      <c r="L19" t="str">
        <f t="shared" si="0"/>
        <v>fancySpeed("Fancy Speed", 500, 0, 1000, 1);                   // Speed of the fancy effect animation</v>
      </c>
    </row>
    <row r="20" spans="3:12" x14ac:dyDescent="0.45">
      <c r="C20" t="s">
        <v>110</v>
      </c>
      <c r="D20" t="s">
        <v>114</v>
      </c>
      <c r="E20" t="str">
        <f t="shared" si="1"/>
        <v>fancyIntensity</v>
      </c>
      <c r="F20" s="4">
        <v>50</v>
      </c>
      <c r="G20" t="str">
        <f t="shared" si="2"/>
        <v>uint8_t fancyIntensity = 50;</v>
      </c>
      <c r="L20" t="str">
        <f t="shared" si="0"/>
        <v>fancyIntensity("Fancy Intensity", 50, 1, 255, 1);             // Intensity/height of the fancy effect waves</v>
      </c>
    </row>
    <row r="21" spans="3:12" x14ac:dyDescent="0.45">
      <c r="C21" t="s">
        <v>111</v>
      </c>
      <c r="D21" t="s">
        <v>112</v>
      </c>
      <c r="E21" t="str">
        <f t="shared" si="1"/>
        <v>fancyParticleSpan</v>
      </c>
      <c r="F21" s="4" t="s">
        <v>119</v>
      </c>
      <c r="G21" t="str">
        <f t="shared" si="2"/>
        <v>float fancyParticleSpan = .04f;</v>
      </c>
      <c r="L21" t="str">
        <f t="shared" si="0"/>
        <v>fancyParticleSpan("Fancy Particle Span", 0.04f, 0.01f, 0.2f, 0.01f); // Width of the fancy effect lines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27FE-F79E-49BB-8D9E-631FCD809E9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Sheet5</vt:lpstr>
      <vt:lpstr>Sheet2</vt:lpstr>
      <vt:lpstr>Sheet3</vt:lpstr>
      <vt:lpstr>paramsUsed</vt:lpstr>
      <vt:lpstr>Sheet7</vt:lpstr>
      <vt:lpstr>Sheet8</vt:lpstr>
      <vt:lpstr>Synaptide</vt:lpstr>
      <vt:lpstr>Sheet4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Holman</dc:creator>
  <cp:lastModifiedBy>Jeff Holman</cp:lastModifiedBy>
  <dcterms:created xsi:type="dcterms:W3CDTF">2025-07-20T00:49:50Z</dcterms:created>
  <dcterms:modified xsi:type="dcterms:W3CDTF">2025-10-03T23:18:50Z</dcterms:modified>
</cp:coreProperties>
</file>